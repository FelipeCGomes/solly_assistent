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\Desktop\Planilhas\"/>
    </mc:Choice>
  </mc:AlternateContent>
  <xr:revisionPtr revIDLastSave="0" documentId="13_ncr:1_{F9024A7E-0809-441E-A8B1-8E9D11762FC6}" xr6:coauthVersionLast="47" xr6:coauthVersionMax="47" xr10:uidLastSave="{00000000-0000-0000-0000-000000000000}"/>
  <bookViews>
    <workbookView xWindow="2985" yWindow="240" windowWidth="30675" windowHeight="20085" xr2:uid="{DE52FC38-032F-4B6B-9CBB-CADD894E6219}"/>
  </bookViews>
  <sheets>
    <sheet name="Tarefas" sheetId="2" r:id="rId1"/>
    <sheet name="Cadastro" sheetId="10" r:id="rId2"/>
    <sheet name="Dashboard" sheetId="11" r:id="rId3"/>
    <sheet name="Apoio" sheetId="12" r:id="rId4"/>
  </sheets>
  <externalReferences>
    <externalReference r:id="rId5"/>
  </externalReferences>
  <definedNames>
    <definedName name="ListaSubGrupo">OFFSET([1]CLASSIFICACAO!$G$7:$G$62,0,MATCH([1]PLANILHA!#REF!,[1]CLASSIFICACAO!$G$6:$G$6,0)-1,INDEX([1]CLASSIFICACAO!$G:$G,5,MATCH([1]PLANILHA!#REF!,[1]CLASSIFICACAO!$G$6:$G$6,0)),1)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" i="12" l="1"/>
  <c r="C38" i="12"/>
  <c r="C39" i="12"/>
  <c r="C40" i="12"/>
  <c r="C41" i="12"/>
  <c r="D41" i="12" s="1"/>
  <c r="E41" i="12" s="1"/>
  <c r="C42" i="12"/>
  <c r="C43" i="12"/>
  <c r="D43" i="12" s="1"/>
  <c r="E43" i="12" s="1"/>
  <c r="C44" i="12"/>
  <c r="C45" i="12"/>
  <c r="D45" i="12" s="1"/>
  <c r="C36" i="12"/>
  <c r="D36" i="12" s="1"/>
  <c r="C23" i="12"/>
  <c r="D23" i="12" s="1"/>
  <c r="C24" i="12"/>
  <c r="D24" i="12" s="1"/>
  <c r="E24" i="12" s="1"/>
  <c r="C25" i="12"/>
  <c r="D25" i="12" s="1"/>
  <c r="C26" i="12"/>
  <c r="D26" i="12" s="1"/>
  <c r="E26" i="12" s="1"/>
  <c r="C27" i="12"/>
  <c r="D27" i="12" s="1"/>
  <c r="C28" i="12"/>
  <c r="D28" i="12" s="1"/>
  <c r="C29" i="12"/>
  <c r="D29" i="12" s="1"/>
  <c r="C30" i="12"/>
  <c r="D30" i="12" s="1"/>
  <c r="C31" i="12"/>
  <c r="D31" i="12" s="1"/>
  <c r="C22" i="12"/>
  <c r="D22" i="12" s="1"/>
  <c r="C11" i="12"/>
  <c r="D5" i="12"/>
  <c r="C4" i="12"/>
  <c r="D4" i="12" s="1"/>
  <c r="D6" i="12" s="1"/>
  <c r="F24" i="12" l="1"/>
  <c r="E23" i="12"/>
  <c r="F23" i="12" s="1"/>
  <c r="F26" i="12"/>
  <c r="F41" i="12"/>
  <c r="F43" i="12"/>
  <c r="D42" i="12"/>
  <c r="E25" i="12"/>
  <c r="F25" i="12" s="1"/>
  <c r="D44" i="12"/>
  <c r="D40" i="12"/>
  <c r="D39" i="12"/>
  <c r="D38" i="12"/>
  <c r="E36" i="12"/>
  <c r="F36" i="12" s="1"/>
  <c r="E45" i="12"/>
  <c r="F45" i="12" s="1"/>
  <c r="E29" i="12"/>
  <c r="F29" i="12" s="1"/>
  <c r="E22" i="12"/>
  <c r="F22" i="12" s="1"/>
  <c r="E31" i="12"/>
  <c r="F31" i="12" s="1"/>
  <c r="E30" i="12"/>
  <c r="F30" i="12" s="1"/>
  <c r="E28" i="12"/>
  <c r="F28" i="12" s="1"/>
  <c r="E27" i="12"/>
  <c r="F27" i="12" s="1"/>
  <c r="D37" i="12"/>
  <c r="C12" i="12"/>
  <c r="D11" i="12"/>
  <c r="E11" i="12" s="1"/>
  <c r="E5" i="12"/>
  <c r="E38" i="12" l="1"/>
  <c r="F38" i="12" s="1"/>
  <c r="E39" i="12"/>
  <c r="F39" i="12" s="1"/>
  <c r="E44" i="12"/>
  <c r="F44" i="12" s="1"/>
  <c r="E40" i="12"/>
  <c r="F40" i="12" s="1"/>
  <c r="E42" i="12"/>
  <c r="F42" i="12" s="1"/>
  <c r="E37" i="12"/>
  <c r="F37" i="12" s="1"/>
  <c r="D12" i="12"/>
  <c r="E12" i="12" s="1"/>
  <c r="C13" i="12"/>
  <c r="E4" i="12"/>
  <c r="D13" i="12" l="1"/>
  <c r="E13" i="12" s="1"/>
  <c r="C14" i="12"/>
  <c r="C15" i="12" l="1"/>
  <c r="D14" i="12"/>
  <c r="E14" i="12" s="1"/>
  <c r="C16" i="12" l="1"/>
  <c r="D15" i="12"/>
  <c r="E15" i="12" s="1"/>
  <c r="C17" i="12" l="1"/>
  <c r="D16" i="12"/>
  <c r="E16" i="12" s="1"/>
  <c r="D17" i="12" l="1"/>
  <c r="E17" i="12" s="1"/>
</calcChain>
</file>

<file path=xl/sharedStrings.xml><?xml version="1.0" encoding="utf-8"?>
<sst xmlns="http://schemas.openxmlformats.org/spreadsheetml/2006/main" count="41" uniqueCount="24">
  <si>
    <t>Responsável</t>
  </si>
  <si>
    <t>Grupo</t>
  </si>
  <si>
    <t>Status</t>
  </si>
  <si>
    <t>Thiago</t>
  </si>
  <si>
    <t>Trabalho</t>
  </si>
  <si>
    <t>Pessoal</t>
  </si>
  <si>
    <t>Faculdade</t>
  </si>
  <si>
    <t>Concluída</t>
  </si>
  <si>
    <t>Pendente</t>
  </si>
  <si>
    <t>Andamento</t>
  </si>
  <si>
    <t>Tarefa</t>
  </si>
  <si>
    <t>Data Início</t>
  </si>
  <si>
    <t>Data Término</t>
  </si>
  <si>
    <t>Total</t>
  </si>
  <si>
    <t>Não Iniciada</t>
  </si>
  <si>
    <t>Pendentes</t>
  </si>
  <si>
    <t>* deixe esta tarefa para ser a tarefa de concluída.</t>
  </si>
  <si>
    <t>Data</t>
  </si>
  <si>
    <t>Tarefas</t>
  </si>
  <si>
    <t>Tarefas por Grupos</t>
  </si>
  <si>
    <t>Tarefas por Responsável</t>
  </si>
  <si>
    <t>Percentual</t>
  </si>
  <si>
    <t>Reunião com André</t>
  </si>
  <si>
    <t>Refazer proposta com novos alinhamentos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</si>
</sst>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\ \(ddd\)"/>
    <numFmt numFmtId="165" formatCode="dd/mmm\ \(ddd\)"/>
    <numFmt numFmtId="166" formatCode="dd/mm\ \(ddd\)"/>
  </numFmts>
  <fonts count="7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Poppins Regular"/>
    </font>
    <font>
      <b/>
      <sz val="11"/>
      <color theme="1"/>
      <name val="Poppins Regular"/>
    </font>
    <font>
      <sz val="9"/>
      <color theme="1"/>
      <name val="Poppins Regula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165" fontId="5" fillId="2" borderId="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4" borderId="0" xfId="0" applyFill="1" applyAlignment="1">
      <alignment vertical="center"/>
    </xf>
    <xf numFmtId="0" fontId="6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left" vertical="center"/>
    </xf>
    <xf numFmtId="9" fontId="4" fillId="0" borderId="0" xfId="2" applyFont="1" applyAlignment="1">
      <alignment horizont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center"/>
    </xf>
    <xf numFmtId="3" fontId="4" fillId="0" borderId="0" xfId="0" applyNumberFormat="1" applyFont="1" applyAlignment="1">
      <alignment horizontal="center"/>
    </xf>
    <xf numFmtId="0" fontId="4" fillId="5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DAD87130-D23F-417E-BDDE-C4B020248F01}"/>
    <cellStyle name="Porcentagem" xfId="2" builtinId="5"/>
  </cellStyles>
  <dxfs count="26">
    <dxf>
      <font>
        <strike val="0"/>
        <outline val="0"/>
        <shadow val="0"/>
        <u val="none"/>
        <vertAlign val="baseline"/>
        <color theme="1"/>
        <name val="Poppins Regula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Poppins Regular"/>
        <scheme val="none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numFmt numFmtId="164" formatCode="dd/mm/yy\ \(ddd\)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numFmt numFmtId="164" formatCode="dd/mm/yy\ \(ddd\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numFmt numFmtId="164" formatCode="dd/mm/yy\ \(ddd\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oppins Regular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theme="0" tint="-4.9989318521683403E-2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4"/>
          <bgColor rgb="FF0070C0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rgb="FF002060"/>
        </bottom>
        <vertical/>
      </border>
    </dxf>
    <dxf>
      <font>
        <color theme="1"/>
      </font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</border>
    </dxf>
  </dxfs>
  <tableStyles count="1" defaultTableStyle="TableStyleMedium2" defaultPivotStyle="PivotStyleLight16">
    <tableStyle name="Tabela" pivot="0" count="7" xr9:uid="{015B7A4B-DDE5-4DBE-8439-61CB8C1CD296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secondRowStripe" dxfId="20"/>
      <tableStyleElement type="firstColumnStripe" dxfId="19"/>
    </tableStyle>
  </tableStyles>
  <colors>
    <mruColors>
      <color rgb="FFFFB9B9"/>
      <color rgb="FF00EA8A"/>
      <color rgb="FF000F2A"/>
      <color rgb="FF0B428B"/>
      <color rgb="FFFC4A1A"/>
      <color rgb="FFF7B733"/>
      <color rgb="FFF5AF19"/>
      <color rgb="FFE0D10A"/>
      <color rgb="FF0E53AE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Apoio!$D$10</c:f>
              <c:strCache>
                <c:ptCount val="1"/>
                <c:pt idx="0">
                  <c:v>Concluída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Apoio!$C$11:$C$17</c:f>
              <c:numCache>
                <c:formatCode>dd/mm\ \(ddd\)</c:formatCode>
                <c:ptCount val="7"/>
                <c:pt idx="0">
                  <c:v>45082</c:v>
                </c:pt>
                <c:pt idx="1">
                  <c:v>45083</c:v>
                </c:pt>
                <c:pt idx="2">
                  <c:v>45084</c:v>
                </c:pt>
                <c:pt idx="3">
                  <c:v>45085</c:v>
                </c:pt>
                <c:pt idx="4">
                  <c:v>45086</c:v>
                </c:pt>
                <c:pt idx="5">
                  <c:v>45087</c:v>
                </c:pt>
                <c:pt idx="6">
                  <c:v>45088</c:v>
                </c:pt>
              </c:numCache>
            </c:numRef>
          </c:cat>
          <c:val>
            <c:numRef>
              <c:f>Apoio!$D$11:$D$17</c:f>
              <c:numCache>
                <c:formatCode>#,##0</c:formatCode>
                <c:ptCount val="7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4-4F2F-B591-A97BF8025184}"/>
            </c:ext>
          </c:extLst>
        </c:ser>
        <c:ser>
          <c:idx val="1"/>
          <c:order val="1"/>
          <c:tx>
            <c:strRef>
              <c:f>Apoio!$E$10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B9B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Apoio!$C$11:$C$17</c:f>
              <c:numCache>
                <c:formatCode>dd/mm\ \(ddd\)</c:formatCode>
                <c:ptCount val="7"/>
                <c:pt idx="0">
                  <c:v>45082</c:v>
                </c:pt>
                <c:pt idx="1">
                  <c:v>45083</c:v>
                </c:pt>
                <c:pt idx="2">
                  <c:v>45084</c:v>
                </c:pt>
                <c:pt idx="3">
                  <c:v>45085</c:v>
                </c:pt>
                <c:pt idx="4">
                  <c:v>45086</c:v>
                </c:pt>
                <c:pt idx="5">
                  <c:v>45087</c:v>
                </c:pt>
                <c:pt idx="6">
                  <c:v>45088</c:v>
                </c:pt>
              </c:numCache>
            </c:numRef>
          </c:cat>
          <c:val>
            <c:numRef>
              <c:f>Apoio!$E$11:$E$17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4-4F2F-B591-A97BF8025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7140319"/>
        <c:axId val="1617136959"/>
      </c:barChart>
      <c:dateAx>
        <c:axId val="1617140319"/>
        <c:scaling>
          <c:orientation val="minMax"/>
        </c:scaling>
        <c:delete val="0"/>
        <c:axPos val="b"/>
        <c:numFmt formatCode="dd/mm\ \(ddd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136959"/>
        <c:crosses val="autoZero"/>
        <c:auto val="1"/>
        <c:lblOffset val="100"/>
        <c:baseTimeUnit val="days"/>
      </c:dateAx>
      <c:valAx>
        <c:axId val="161713695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617140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Apoio!$D$21</c:f>
              <c:strCache>
                <c:ptCount val="1"/>
                <c:pt idx="0">
                  <c:v>Concluída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Apoio!$C$22:$C$31</c:f>
              <c:strCache>
                <c:ptCount val="10"/>
                <c:pt idx="0">
                  <c:v>Trabalho</c:v>
                </c:pt>
                <c:pt idx="1">
                  <c:v>Pessoal</c:v>
                </c:pt>
                <c:pt idx="2">
                  <c:v>Faculdade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Apoio!$D$22:$D$31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4-4F2F-B591-A97BF8025184}"/>
            </c:ext>
          </c:extLst>
        </c:ser>
        <c:ser>
          <c:idx val="1"/>
          <c:order val="1"/>
          <c:tx>
            <c:strRef>
              <c:f>Apoio!$E$21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B9B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Apoio!$C$22:$C$31</c:f>
              <c:strCache>
                <c:ptCount val="10"/>
                <c:pt idx="0">
                  <c:v>Trabalho</c:v>
                </c:pt>
                <c:pt idx="1">
                  <c:v>Pessoal</c:v>
                </c:pt>
                <c:pt idx="2">
                  <c:v>Faculdade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Apoio!$E$22:$E$31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4-4F2F-B591-A97BF8025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7140319"/>
        <c:axId val="1617136959"/>
      </c:barChart>
      <c:barChart>
        <c:barDir val="col"/>
        <c:grouping val="clustered"/>
        <c:varyColors val="0"/>
        <c:ser>
          <c:idx val="2"/>
          <c:order val="2"/>
          <c:tx>
            <c:v>% Conclusão</c:v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alpha val="65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Apoio!$F$22:$F$31</c:f>
              <c:numCache>
                <c:formatCode>0%</c:formatCode>
                <c:ptCount val="10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38-4CD4-A911-AD3ADE391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983792"/>
        <c:axId val="424986672"/>
      </c:barChart>
      <c:catAx>
        <c:axId val="1617140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136959"/>
        <c:crosses val="autoZero"/>
        <c:auto val="1"/>
        <c:lblAlgn val="ctr"/>
        <c:lblOffset val="100"/>
        <c:noMultiLvlLbl val="0"/>
      </c:catAx>
      <c:valAx>
        <c:axId val="161713695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617140319"/>
        <c:crosses val="autoZero"/>
        <c:crossBetween val="between"/>
      </c:valAx>
      <c:valAx>
        <c:axId val="42498667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424983792"/>
        <c:crosses val="max"/>
        <c:crossBetween val="between"/>
      </c:valAx>
      <c:catAx>
        <c:axId val="424983792"/>
        <c:scaling>
          <c:orientation val="minMax"/>
        </c:scaling>
        <c:delete val="1"/>
        <c:axPos val="b"/>
        <c:majorTickMark val="out"/>
        <c:minorTickMark val="none"/>
        <c:tickLblPos val="nextTo"/>
        <c:crossAx val="424986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Apoio!$D$35</c:f>
              <c:strCache>
                <c:ptCount val="1"/>
                <c:pt idx="0">
                  <c:v>Concluída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Apoio!$C$36:$C$45</c:f>
              <c:strCache>
                <c:ptCount val="10"/>
                <c:pt idx="0">
                  <c:v>Thiago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Apoio!$D$36:$D$45</c:f>
              <c:numCache>
                <c:formatCode>General</c:formatCode>
                <c:ptCount val="1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4-4F2F-B591-A97BF8025184}"/>
            </c:ext>
          </c:extLst>
        </c:ser>
        <c:ser>
          <c:idx val="1"/>
          <c:order val="1"/>
          <c:tx>
            <c:strRef>
              <c:f>Apoio!$E$35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B9B9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Apoio!$C$36:$C$45</c:f>
              <c:strCache>
                <c:ptCount val="10"/>
                <c:pt idx="0">
                  <c:v>Thiago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Apoio!$E$36:$E$45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4-4F2F-B591-A97BF8025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7140319"/>
        <c:axId val="1617136959"/>
      </c:barChart>
      <c:barChart>
        <c:barDir val="col"/>
        <c:grouping val="clustered"/>
        <c:varyColors val="0"/>
        <c:ser>
          <c:idx val="2"/>
          <c:order val="2"/>
          <c:tx>
            <c:v>% Conclusão</c:v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ysClr val="windowText" lastClr="000000">
                  <a:alpha val="65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Apoio!$F$36:$F$45</c:f>
              <c:numCache>
                <c:formatCode>0%</c:formatCode>
                <c:ptCount val="10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38-4CD4-A911-AD3ADE391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983792"/>
        <c:axId val="424986672"/>
      </c:barChart>
      <c:catAx>
        <c:axId val="1617140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7136959"/>
        <c:crosses val="autoZero"/>
        <c:auto val="1"/>
        <c:lblAlgn val="ctr"/>
        <c:lblOffset val="100"/>
        <c:noMultiLvlLbl val="0"/>
      </c:catAx>
      <c:valAx>
        <c:axId val="161713695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617140319"/>
        <c:crosses val="autoZero"/>
        <c:crossBetween val="between"/>
      </c:valAx>
      <c:valAx>
        <c:axId val="42498667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424983792"/>
        <c:crosses val="max"/>
        <c:crossBetween val="between"/>
      </c:valAx>
      <c:catAx>
        <c:axId val="424983792"/>
        <c:scaling>
          <c:orientation val="minMax"/>
        </c:scaling>
        <c:delete val="1"/>
        <c:axPos val="b"/>
        <c:majorTickMark val="out"/>
        <c:minorTickMark val="none"/>
        <c:tickLblPos val="nextTo"/>
        <c:crossAx val="424986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Dashboard!A1"/><Relationship Id="rId12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#Cadastro!A1"/><Relationship Id="rId6" Type="http://schemas.openxmlformats.org/officeDocument/2006/relationships/image" Target="../media/image4.svg"/><Relationship Id="rId11" Type="http://schemas.openxmlformats.org/officeDocument/2006/relationships/image" Target="../media/image8.svg"/><Relationship Id="rId5" Type="http://schemas.openxmlformats.org/officeDocument/2006/relationships/image" Target="../media/image3.png"/><Relationship Id="rId10" Type="http://schemas.openxmlformats.org/officeDocument/2006/relationships/image" Target="../media/image7.png"/><Relationship Id="rId4" Type="http://schemas.openxmlformats.org/officeDocument/2006/relationships/hyperlink" Target="#Tarefas!A1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7" Type="http://schemas.openxmlformats.org/officeDocument/2006/relationships/image" Target="../media/image9.png"/><Relationship Id="rId2" Type="http://schemas.openxmlformats.org/officeDocument/2006/relationships/image" Target="../media/image10.png"/><Relationship Id="rId1" Type="http://schemas.openxmlformats.org/officeDocument/2006/relationships/hyperlink" Target="#Tarefas!A1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9.svg"/><Relationship Id="rId18" Type="http://schemas.openxmlformats.org/officeDocument/2006/relationships/image" Target="../media/image9.png"/><Relationship Id="rId3" Type="http://schemas.openxmlformats.org/officeDocument/2006/relationships/image" Target="../media/image15.svg"/><Relationship Id="rId7" Type="http://schemas.openxmlformats.org/officeDocument/2006/relationships/hyperlink" Target="#Dashboard!A1"/><Relationship Id="rId12" Type="http://schemas.openxmlformats.org/officeDocument/2006/relationships/image" Target="../media/image18.png"/><Relationship Id="rId17" Type="http://schemas.openxmlformats.org/officeDocument/2006/relationships/hyperlink" Target="https://academiabepro.com.br/pt0u" TargetMode="External"/><Relationship Id="rId2" Type="http://schemas.openxmlformats.org/officeDocument/2006/relationships/image" Target="../media/image14.png"/><Relationship Id="rId16" Type="http://schemas.openxmlformats.org/officeDocument/2006/relationships/chart" Target="../charts/chart3.xml"/><Relationship Id="rId1" Type="http://schemas.openxmlformats.org/officeDocument/2006/relationships/hyperlink" Target="#Cadastro!A1"/><Relationship Id="rId6" Type="http://schemas.openxmlformats.org/officeDocument/2006/relationships/image" Target="../media/image11.svg"/><Relationship Id="rId11" Type="http://schemas.openxmlformats.org/officeDocument/2006/relationships/image" Target="../media/image17.svg"/><Relationship Id="rId5" Type="http://schemas.openxmlformats.org/officeDocument/2006/relationships/image" Target="../media/image10.png"/><Relationship Id="rId15" Type="http://schemas.openxmlformats.org/officeDocument/2006/relationships/chart" Target="../charts/chart2.xml"/><Relationship Id="rId10" Type="http://schemas.openxmlformats.org/officeDocument/2006/relationships/image" Target="../media/image16.png"/><Relationship Id="rId4" Type="http://schemas.openxmlformats.org/officeDocument/2006/relationships/hyperlink" Target="#Tarefas!A1"/><Relationship Id="rId9" Type="http://schemas.openxmlformats.org/officeDocument/2006/relationships/image" Target="../media/image8.svg"/><Relationship Id="rId1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343132</xdr:colOff>
      <xdr:row>4</xdr:row>
      <xdr:rowOff>133929</xdr:rowOff>
    </xdr:from>
    <xdr:to>
      <xdr:col>0</xdr:col>
      <xdr:colOff>1865587</xdr:colOff>
      <xdr:row>6</xdr:row>
      <xdr:rowOff>114897</xdr:rowOff>
    </xdr:to>
    <xdr:grpSp>
      <xdr:nvGrpSpPr>
        <xdr:cNvPr id="18" name="Agrupar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95F4F6-4D38-8431-A166-55BEFF7D707E}"/>
            </a:ext>
          </a:extLst>
        </xdr:cNvPr>
        <xdr:cNvGrpSpPr/>
      </xdr:nvGrpSpPr>
      <xdr:grpSpPr>
        <a:xfrm>
          <a:off x="343132" y="1210254"/>
          <a:ext cx="1522455" cy="361968"/>
          <a:chOff x="228601" y="1162051"/>
          <a:chExt cx="1847850" cy="476249"/>
        </a:xfrm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FD6DB753-1891-96BD-0310-4C8F41132DFC}"/>
              </a:ext>
            </a:extLst>
          </xdr:cNvPr>
          <xdr:cNvSpPr/>
        </xdr:nvSpPr>
        <xdr:spPr>
          <a:xfrm>
            <a:off x="228601" y="1162051"/>
            <a:ext cx="1847850" cy="476249"/>
          </a:xfrm>
          <a:prstGeom prst="roundRect">
            <a:avLst>
              <a:gd name="adj" fmla="val 32000"/>
            </a:avLst>
          </a:prstGeom>
          <a:solidFill>
            <a:schemeClr val="bg2"/>
          </a:solidFill>
          <a:ln w="1270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002060"/>
                </a:solidFill>
              </a:rPr>
              <a:t>        </a:t>
            </a:r>
            <a:r>
              <a:rPr lang="pt-BR" sz="1200" b="1">
                <a:solidFill>
                  <a:schemeClr val="tx1"/>
                </a:solidFill>
              </a:rPr>
              <a:t>CADASTRO</a:t>
            </a:r>
            <a:endParaRPr lang="pt-BR" sz="1400" b="1">
              <a:solidFill>
                <a:schemeClr val="tx1"/>
              </a:solidFill>
            </a:endParaRPr>
          </a:p>
        </xdr:txBody>
      </xdr:sp>
      <xdr:pic>
        <xdr:nvPicPr>
          <xdr:cNvPr id="7" name="Gráfico 6" descr="Selo seguir com preenchimento sólido">
            <a:extLst>
              <a:ext uri="{FF2B5EF4-FFF2-40B4-BE49-F238E27FC236}">
                <a16:creationId xmlns:a16="http://schemas.microsoft.com/office/drawing/2014/main" id="{8F94A700-7BAC-4196-B870-08D709F68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315051" y="1200150"/>
            <a:ext cx="379548" cy="4000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343132</xdr:colOff>
      <xdr:row>1</xdr:row>
      <xdr:rowOff>157787</xdr:rowOff>
    </xdr:from>
    <xdr:to>
      <xdr:col>0</xdr:col>
      <xdr:colOff>1865587</xdr:colOff>
      <xdr:row>3</xdr:row>
      <xdr:rowOff>150477</xdr:rowOff>
    </xdr:to>
    <xdr:grpSp>
      <xdr:nvGrpSpPr>
        <xdr:cNvPr id="50" name="Agrupar 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7158331-E76F-78D0-0D0D-1BE3958B99DF}"/>
            </a:ext>
          </a:extLst>
        </xdr:cNvPr>
        <xdr:cNvGrpSpPr/>
      </xdr:nvGrpSpPr>
      <xdr:grpSpPr>
        <a:xfrm>
          <a:off x="343132" y="662612"/>
          <a:ext cx="1522455" cy="373690"/>
          <a:chOff x="228601" y="1162051"/>
          <a:chExt cx="1847850" cy="476249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283427E8-D39A-4AA0-1BA1-82B0199A9D5A}"/>
              </a:ext>
            </a:extLst>
          </xdr:cNvPr>
          <xdr:cNvSpPr/>
        </xdr:nvSpPr>
        <xdr:spPr>
          <a:xfrm>
            <a:off x="228601" y="1162051"/>
            <a:ext cx="1847850" cy="476249"/>
          </a:xfrm>
          <a:prstGeom prst="roundRect">
            <a:avLst>
              <a:gd name="adj" fmla="val 32000"/>
            </a:avLst>
          </a:prstGeom>
          <a:gradFill>
            <a:gsLst>
              <a:gs pos="54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0"/>
          </a:gradFill>
          <a:ln w="12700">
            <a:solidFill>
              <a:srgbClr val="0B428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002060"/>
                </a:solidFill>
              </a:rPr>
              <a:t>        TAREFAS</a:t>
            </a:r>
            <a:endParaRPr lang="pt-BR" sz="1400" b="1">
              <a:solidFill>
                <a:srgbClr val="002060"/>
              </a:solidFill>
            </a:endParaRPr>
          </a:p>
        </xdr:txBody>
      </xdr:sp>
      <xdr:pic>
        <xdr:nvPicPr>
          <xdr:cNvPr id="52" name="Gráfico 51" descr="Lápis com preenchimento sólido">
            <a:extLst>
              <a:ext uri="{FF2B5EF4-FFF2-40B4-BE49-F238E27FC236}">
                <a16:creationId xmlns:a16="http://schemas.microsoft.com/office/drawing/2014/main" id="{614048F0-42E5-2AE5-97C3-E89D59D0F7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15051" y="1200150"/>
            <a:ext cx="379548" cy="4000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343132</xdr:colOff>
      <xdr:row>7</xdr:row>
      <xdr:rowOff>98349</xdr:rowOff>
    </xdr:from>
    <xdr:to>
      <xdr:col>0</xdr:col>
      <xdr:colOff>1865587</xdr:colOff>
      <xdr:row>9</xdr:row>
      <xdr:rowOff>74638</xdr:rowOff>
    </xdr:to>
    <xdr:grpSp>
      <xdr:nvGrpSpPr>
        <xdr:cNvPr id="53" name="Agrupar 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30B1238-3D80-395E-DB08-CCA6B02F1C81}"/>
            </a:ext>
          </a:extLst>
        </xdr:cNvPr>
        <xdr:cNvGrpSpPr/>
      </xdr:nvGrpSpPr>
      <xdr:grpSpPr>
        <a:xfrm>
          <a:off x="343132" y="1746174"/>
          <a:ext cx="1522455" cy="357289"/>
          <a:chOff x="228601" y="1162051"/>
          <a:chExt cx="1847850" cy="476249"/>
        </a:xfrm>
        <a:solidFill>
          <a:schemeClr val="tx1">
            <a:lumMod val="50000"/>
            <a:lumOff val="50000"/>
          </a:schemeClr>
        </a:solidFill>
      </xdr:grpSpPr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DC59E265-1E00-3B81-7DD6-FBBFF2626937}"/>
              </a:ext>
            </a:extLst>
          </xdr:cNvPr>
          <xdr:cNvSpPr/>
        </xdr:nvSpPr>
        <xdr:spPr>
          <a:xfrm>
            <a:off x="228601" y="1162051"/>
            <a:ext cx="1847850" cy="476249"/>
          </a:xfrm>
          <a:prstGeom prst="roundRect">
            <a:avLst>
              <a:gd name="adj" fmla="val 32000"/>
            </a:avLst>
          </a:prstGeom>
          <a:solidFill>
            <a:schemeClr val="bg2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solidFill>
                  <a:srgbClr val="002060"/>
                </a:solidFill>
              </a:rPr>
              <a:t>        </a:t>
            </a:r>
            <a:r>
              <a:rPr lang="pt-BR" sz="1200" b="1">
                <a:solidFill>
                  <a:srgbClr val="002060"/>
                </a:solidFill>
              </a:rPr>
              <a:t>DASHBOARD</a:t>
            </a:r>
            <a:endParaRPr lang="pt-BR" sz="1400" b="1">
              <a:solidFill>
                <a:srgbClr val="002060"/>
              </a:solidFill>
            </a:endParaRPr>
          </a:p>
        </xdr:txBody>
      </xdr:sp>
      <xdr:pic>
        <xdr:nvPicPr>
          <xdr:cNvPr id="55" name="Gráfico 54" descr="Gráfico de pizza com preenchimento sólido">
            <a:extLst>
              <a:ext uri="{FF2B5EF4-FFF2-40B4-BE49-F238E27FC236}">
                <a16:creationId xmlns:a16="http://schemas.microsoft.com/office/drawing/2014/main" id="{827C070C-790B-757C-E259-7CE536F3AE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317436" y="1200150"/>
            <a:ext cx="374777" cy="4000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106327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0B284D1-F4BC-4C90-BF3E-403DFB87B2DD}"/>
            </a:ext>
          </a:extLst>
        </xdr:cNvPr>
        <xdr:cNvGrpSpPr/>
      </xdr:nvGrpSpPr>
      <xdr:grpSpPr>
        <a:xfrm>
          <a:off x="0" y="0"/>
          <a:ext cx="12860302" cy="504825"/>
          <a:chOff x="0" y="0"/>
          <a:chExt cx="13200375" cy="49552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316F22B8-836B-991C-B28A-A9BEE530EFC9}"/>
              </a:ext>
            </a:extLst>
          </xdr:cNvPr>
          <xdr:cNvSpPr/>
        </xdr:nvSpPr>
        <xdr:spPr>
          <a:xfrm>
            <a:off x="0" y="0"/>
            <a:ext cx="13200375" cy="495520"/>
          </a:xfrm>
          <a:prstGeom prst="rect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5245FB-FBDF-138C-E81C-390A2E631E5F}"/>
              </a:ext>
            </a:extLst>
          </xdr:cNvPr>
          <xdr:cNvSpPr/>
        </xdr:nvSpPr>
        <xdr:spPr>
          <a:xfrm>
            <a:off x="952144" y="140176"/>
            <a:ext cx="4576857" cy="2844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CONTROLE</a:t>
            </a:r>
            <a:r>
              <a:rPr lang="pt-BR" sz="1400" b="1" baseline="0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DE TAREFAS</a:t>
            </a:r>
            <a:endParaRPr lang="pt-BR" sz="1400" b="1">
              <a:solidFill>
                <a:sysClr val="windowText" lastClr="000000"/>
              </a:solidFill>
              <a:latin typeface="Poppins" pitchFamily="2" charset="77"/>
              <a:cs typeface="Poppins" pitchFamily="2" charset="77"/>
            </a:endParaRPr>
          </a:p>
        </xdr:txBody>
      </xdr:sp>
    </xdr:grpSp>
    <xdr:clientData/>
  </xdr:twoCellAnchor>
  <xdr:twoCellAnchor editAs="absolute">
    <xdr:from>
      <xdr:col>0</xdr:col>
      <xdr:colOff>419332</xdr:colOff>
      <xdr:row>7</xdr:row>
      <xdr:rowOff>123749</xdr:rowOff>
    </xdr:from>
    <xdr:to>
      <xdr:col>0</xdr:col>
      <xdr:colOff>728113</xdr:colOff>
      <xdr:row>9</xdr:row>
      <xdr:rowOff>62566</xdr:rowOff>
    </xdr:to>
    <xdr:pic>
      <xdr:nvPicPr>
        <xdr:cNvPr id="9" name="Gráfico 8" descr="Gráfico de pizza com preenchimento sólido">
          <a:extLst>
            <a:ext uri="{FF2B5EF4-FFF2-40B4-BE49-F238E27FC236}">
              <a16:creationId xmlns:a16="http://schemas.microsoft.com/office/drawing/2014/main" id="{EB68DDAF-42F4-D249-AE26-D6996BB0B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rcRect/>
        <a:stretch/>
      </xdr:blipFill>
      <xdr:spPr>
        <a:xfrm>
          <a:off x="419332" y="1774749"/>
          <a:ext cx="308781" cy="319817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508000</xdr:colOff>
      <xdr:row>0</xdr:row>
      <xdr:rowOff>0</xdr:rowOff>
    </xdr:from>
    <xdr:to>
      <xdr:col>10</xdr:col>
      <xdr:colOff>215900</xdr:colOff>
      <xdr:row>0</xdr:row>
      <xdr:rowOff>500041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8BDF7EF3-0D3E-9019-ACEA-993D50FB2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6400" y="0"/>
          <a:ext cx="2260600" cy="5000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330432</xdr:colOff>
      <xdr:row>4</xdr:row>
      <xdr:rowOff>17676</xdr:rowOff>
    </xdr:from>
    <xdr:to>
      <xdr:col>0</xdr:col>
      <xdr:colOff>1852887</xdr:colOff>
      <xdr:row>6</xdr:row>
      <xdr:rowOff>22089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7D5CA8-3B45-B046-7181-3773F35E6E67}"/>
            </a:ext>
          </a:extLst>
        </xdr:cNvPr>
        <xdr:cNvSpPr/>
      </xdr:nvSpPr>
      <xdr:spPr>
        <a:xfrm>
          <a:off x="330432" y="1211476"/>
          <a:ext cx="1522455" cy="461613"/>
        </a:xfrm>
        <a:prstGeom prst="roundRect">
          <a:avLst>
            <a:gd name="adj" fmla="val 32000"/>
          </a:avLst>
        </a:prstGeom>
        <a:gradFill>
          <a:gsLst>
            <a:gs pos="54000">
              <a:schemeClr val="bg1"/>
            </a:gs>
            <a:gs pos="100000">
              <a:schemeClr val="bg1">
                <a:lumMod val="75000"/>
              </a:schemeClr>
            </a:gs>
          </a:gsLst>
          <a:lin ang="0" scaled="0"/>
        </a:gradFill>
        <a:ln w="12700">
          <a:solidFill>
            <a:srgbClr val="0B428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200" b="1">
              <a:solidFill>
                <a:srgbClr val="002060"/>
              </a:solidFill>
              <a:latin typeface="+mn-lt"/>
              <a:ea typeface="+mn-ea"/>
              <a:cs typeface="+mn-cs"/>
            </a:rPr>
            <a:t>        CADASTRO</a:t>
          </a:r>
        </a:p>
      </xdr:txBody>
    </xdr:sp>
    <xdr:clientData/>
  </xdr:twoCellAnchor>
  <xdr:twoCellAnchor>
    <xdr:from>
      <xdr:col>0</xdr:col>
      <xdr:colOff>343132</xdr:colOff>
      <xdr:row>1</xdr:row>
      <xdr:rowOff>157787</xdr:rowOff>
    </xdr:from>
    <xdr:to>
      <xdr:col>0</xdr:col>
      <xdr:colOff>1865587</xdr:colOff>
      <xdr:row>3</xdr:row>
      <xdr:rowOff>162200</xdr:rowOff>
    </xdr:to>
    <xdr:grpSp>
      <xdr:nvGrpSpPr>
        <xdr:cNvPr id="20" name="Agrupar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D3E82D-13D1-DFFC-3FE6-06AE39F49F83}"/>
            </a:ext>
          </a:extLst>
        </xdr:cNvPr>
        <xdr:cNvGrpSpPr/>
      </xdr:nvGrpSpPr>
      <xdr:grpSpPr>
        <a:xfrm>
          <a:off x="343132" y="662612"/>
          <a:ext cx="1522455" cy="385413"/>
          <a:chOff x="343132" y="660995"/>
          <a:chExt cx="1522455" cy="372473"/>
        </a:xfrm>
        <a:solidFill>
          <a:schemeClr val="bg2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83D1496E-BF5B-6C26-28E0-B653C43DC03D}"/>
              </a:ext>
            </a:extLst>
          </xdr:cNvPr>
          <xdr:cNvSpPr/>
        </xdr:nvSpPr>
        <xdr:spPr>
          <a:xfrm>
            <a:off x="343132" y="660995"/>
            <a:ext cx="1522455" cy="372473"/>
          </a:xfrm>
          <a:prstGeom prst="roundRect">
            <a:avLst>
              <a:gd name="adj" fmla="val 32000"/>
            </a:avLst>
          </a:prstGeom>
          <a:grpFill/>
          <a:ln w="12700">
            <a:solidFill>
              <a:srgbClr val="0E53A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rgbClr val="002060"/>
                </a:solidFill>
                <a:latin typeface="+mn-lt"/>
                <a:ea typeface="+mn-ea"/>
                <a:cs typeface="+mn-cs"/>
              </a:rPr>
              <a:t>        TAREFAS</a:t>
            </a:r>
          </a:p>
        </xdr:txBody>
      </xdr:sp>
      <xdr:pic>
        <xdr:nvPicPr>
          <xdr:cNvPr id="7" name="Gráfico 6" descr="Lápis com preenchimento sólido">
            <a:extLst>
              <a:ext uri="{FF2B5EF4-FFF2-40B4-BE49-F238E27FC236}">
                <a16:creationId xmlns:a16="http://schemas.microsoft.com/office/drawing/2014/main" id="{403D250D-5FA9-560C-26D6-382641D57F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414359" y="690792"/>
            <a:ext cx="312712" cy="31287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343132</xdr:colOff>
      <xdr:row>6</xdr:row>
      <xdr:rowOff>156965</xdr:rowOff>
    </xdr:from>
    <xdr:to>
      <xdr:col>0</xdr:col>
      <xdr:colOff>1865587</xdr:colOff>
      <xdr:row>8</xdr:row>
      <xdr:rowOff>80499</xdr:rowOff>
    </xdr:to>
    <xdr:grpSp>
      <xdr:nvGrpSpPr>
        <xdr:cNvPr id="8" name="Agrupar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5AAB10C-4C7F-4732-935D-015952034B78}"/>
            </a:ext>
          </a:extLst>
        </xdr:cNvPr>
        <xdr:cNvGrpSpPr/>
      </xdr:nvGrpSpPr>
      <xdr:grpSpPr>
        <a:xfrm>
          <a:off x="343132" y="1614290"/>
          <a:ext cx="1522455" cy="304534"/>
          <a:chOff x="228601" y="1162051"/>
          <a:chExt cx="1847850" cy="476249"/>
        </a:xfrm>
        <a:solidFill>
          <a:schemeClr val="bg2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B7249FC6-2F9E-4B12-59A6-48D19DC95B6A}"/>
              </a:ext>
            </a:extLst>
          </xdr:cNvPr>
          <xdr:cNvSpPr/>
        </xdr:nvSpPr>
        <xdr:spPr>
          <a:xfrm>
            <a:off x="228601" y="1162051"/>
            <a:ext cx="1847850" cy="476249"/>
          </a:xfrm>
          <a:prstGeom prst="roundRect">
            <a:avLst>
              <a:gd name="adj" fmla="val 32000"/>
            </a:avLst>
          </a:prstGeom>
          <a:grpFill/>
          <a:ln w="12700">
            <a:solidFill>
              <a:srgbClr val="0E53A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solidFill>
                  <a:srgbClr val="002060"/>
                </a:solidFill>
              </a:rPr>
              <a:t>        </a:t>
            </a:r>
            <a:r>
              <a:rPr lang="pt-BR" sz="1200" b="1">
                <a:solidFill>
                  <a:srgbClr val="002060"/>
                </a:solidFill>
              </a:rPr>
              <a:t>DASHBOARD</a:t>
            </a:r>
            <a:endParaRPr lang="pt-BR" sz="1400" b="1">
              <a:solidFill>
                <a:srgbClr val="002060"/>
              </a:solidFill>
            </a:endParaRPr>
          </a:p>
        </xdr:txBody>
      </xdr:sp>
      <xdr:pic>
        <xdr:nvPicPr>
          <xdr:cNvPr id="10" name="Gráfico 9" descr="Gráfico de pizza com preenchimento sólido">
            <a:extLst>
              <a:ext uri="{FF2B5EF4-FFF2-40B4-BE49-F238E27FC236}">
                <a16:creationId xmlns:a16="http://schemas.microsoft.com/office/drawing/2014/main" id="{625A1D04-8A07-FC82-7DE3-B97AAE7C3C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17436" y="1200150"/>
            <a:ext cx="374777" cy="4000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270414</xdr:colOff>
      <xdr:row>1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2A4969B7-C13B-4AC2-940F-835884936914}"/>
            </a:ext>
          </a:extLst>
        </xdr:cNvPr>
        <xdr:cNvGrpSpPr/>
      </xdr:nvGrpSpPr>
      <xdr:grpSpPr>
        <a:xfrm>
          <a:off x="0" y="0"/>
          <a:ext cx="12833889" cy="504825"/>
          <a:chOff x="0" y="0"/>
          <a:chExt cx="13200375" cy="495520"/>
        </a:xfrm>
        <a:solidFill>
          <a:schemeClr val="bg1">
            <a:lumMod val="75000"/>
          </a:schemeClr>
        </a:solidFill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303C5D19-42B7-6D30-7817-DFBAB8CB324E}"/>
              </a:ext>
            </a:extLst>
          </xdr:cNvPr>
          <xdr:cNvSpPr/>
        </xdr:nvSpPr>
        <xdr:spPr>
          <a:xfrm>
            <a:off x="0" y="0"/>
            <a:ext cx="13200375" cy="49552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B2E5B310-0150-B289-EA78-8554F2FEE3CE}"/>
              </a:ext>
            </a:extLst>
          </xdr:cNvPr>
          <xdr:cNvSpPr/>
        </xdr:nvSpPr>
        <xdr:spPr>
          <a:xfrm>
            <a:off x="752441" y="78236"/>
            <a:ext cx="4576857" cy="28446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</a:rPr>
              <a:t> </a:t>
            </a:r>
            <a:r>
              <a:rPr lang="pt-BR" sz="1400" b="1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CADASTRO DAS</a:t>
            </a:r>
            <a:r>
              <a:rPr lang="pt-BR" sz="1400" b="1" baseline="0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CONFIGURAÇÕES</a:t>
            </a:r>
            <a:endParaRPr lang="pt-BR" sz="1400" b="1">
              <a:solidFill>
                <a:sysClr val="windowText" lastClr="000000"/>
              </a:solidFill>
              <a:latin typeface="Poppins" pitchFamily="2" charset="77"/>
              <a:cs typeface="Poppins" pitchFamily="2" charset="77"/>
            </a:endParaRPr>
          </a:p>
        </xdr:txBody>
      </xdr:sp>
    </xdr:grpSp>
    <xdr:clientData/>
  </xdr:twoCellAnchor>
  <xdr:twoCellAnchor editAs="oneCell">
    <xdr:from>
      <xdr:col>13</xdr:col>
      <xdr:colOff>419100</xdr:colOff>
      <xdr:row>0</xdr:row>
      <xdr:rowOff>0</xdr:rowOff>
    </xdr:from>
    <xdr:to>
      <xdr:col>16</xdr:col>
      <xdr:colOff>584200</xdr:colOff>
      <xdr:row>0</xdr:row>
      <xdr:rowOff>483185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5B2ED52-8FCA-D407-6056-FBE980F6F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52300" y="0"/>
          <a:ext cx="2184400" cy="48318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343132</xdr:colOff>
      <xdr:row>4</xdr:row>
      <xdr:rowOff>43076</xdr:rowOff>
    </xdr:from>
    <xdr:to>
      <xdr:col>0</xdr:col>
      <xdr:colOff>1865587</xdr:colOff>
      <xdr:row>5</xdr:row>
      <xdr:rowOff>199889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C308DE-0286-4F7D-A966-4E6A15BDF94A}"/>
            </a:ext>
          </a:extLst>
        </xdr:cNvPr>
        <xdr:cNvGrpSpPr/>
      </xdr:nvGrpSpPr>
      <xdr:grpSpPr>
        <a:xfrm>
          <a:off x="343132" y="1119401"/>
          <a:ext cx="1522455" cy="337788"/>
          <a:chOff x="228601" y="1162051"/>
          <a:chExt cx="1847850" cy="476249"/>
        </a:xfrm>
        <a:solidFill>
          <a:schemeClr val="bg2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ABBE9437-1941-97C0-46BB-40C594A141B2}"/>
              </a:ext>
            </a:extLst>
          </xdr:cNvPr>
          <xdr:cNvSpPr/>
        </xdr:nvSpPr>
        <xdr:spPr>
          <a:xfrm>
            <a:off x="228601" y="1162051"/>
            <a:ext cx="1847850" cy="476249"/>
          </a:xfrm>
          <a:prstGeom prst="roundRect">
            <a:avLst>
              <a:gd name="adj" fmla="val 32000"/>
            </a:avLst>
          </a:prstGeom>
          <a:grpFill/>
          <a:ln w="12700">
            <a:solidFill>
              <a:srgbClr val="0E53A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002060"/>
                </a:solidFill>
              </a:rPr>
              <a:t>        CADASTRO</a:t>
            </a:r>
            <a:endParaRPr lang="pt-BR" sz="1400" b="1">
              <a:solidFill>
                <a:srgbClr val="002060"/>
              </a:solidFill>
            </a:endParaRPr>
          </a:p>
        </xdr:txBody>
      </xdr:sp>
      <xdr:pic>
        <xdr:nvPicPr>
          <xdr:cNvPr id="4" name="Gráfico 3" descr="Selo seguir com preenchimento sólido">
            <a:extLst>
              <a:ext uri="{FF2B5EF4-FFF2-40B4-BE49-F238E27FC236}">
                <a16:creationId xmlns:a16="http://schemas.microsoft.com/office/drawing/2014/main" id="{C72CC951-83A9-A02A-F425-56E68D82A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315051" y="1200150"/>
            <a:ext cx="379548" cy="4000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343132</xdr:colOff>
      <xdr:row>1</xdr:row>
      <xdr:rowOff>157787</xdr:rowOff>
    </xdr:from>
    <xdr:to>
      <xdr:col>0</xdr:col>
      <xdr:colOff>1865587</xdr:colOff>
      <xdr:row>3</xdr:row>
      <xdr:rowOff>162200</xdr:rowOff>
    </xdr:to>
    <xdr:grpSp>
      <xdr:nvGrpSpPr>
        <xdr:cNvPr id="20" name="Agrupar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A58C3A-5EB8-3DA4-9377-3A9C8DED3244}"/>
            </a:ext>
          </a:extLst>
        </xdr:cNvPr>
        <xdr:cNvGrpSpPr/>
      </xdr:nvGrpSpPr>
      <xdr:grpSpPr>
        <a:xfrm>
          <a:off x="343132" y="662612"/>
          <a:ext cx="1522455" cy="385413"/>
          <a:chOff x="343132" y="660014"/>
          <a:chExt cx="1522455" cy="371559"/>
        </a:xfrm>
        <a:solidFill>
          <a:schemeClr val="bg2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A176897-A5BE-F72A-9417-1AD6AA84AE5B}"/>
              </a:ext>
            </a:extLst>
          </xdr:cNvPr>
          <xdr:cNvSpPr/>
        </xdr:nvSpPr>
        <xdr:spPr>
          <a:xfrm>
            <a:off x="343132" y="660014"/>
            <a:ext cx="1522455" cy="371559"/>
          </a:xfrm>
          <a:prstGeom prst="roundRect">
            <a:avLst>
              <a:gd name="adj" fmla="val 32000"/>
            </a:avLst>
          </a:prstGeom>
          <a:grpFill/>
          <a:ln w="12700">
            <a:solidFill>
              <a:srgbClr val="0E53A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rgbClr val="002060"/>
                </a:solidFill>
                <a:latin typeface="+mn-lt"/>
                <a:ea typeface="+mn-ea"/>
                <a:cs typeface="+mn-cs"/>
              </a:rPr>
              <a:t>        TAREFAS</a:t>
            </a:r>
          </a:p>
        </xdr:txBody>
      </xdr:sp>
      <xdr:pic>
        <xdr:nvPicPr>
          <xdr:cNvPr id="7" name="Gráfico 6" descr="Lápis com preenchimento sólido">
            <a:extLst>
              <a:ext uri="{FF2B5EF4-FFF2-40B4-BE49-F238E27FC236}">
                <a16:creationId xmlns:a16="http://schemas.microsoft.com/office/drawing/2014/main" id="{5426195A-E945-8725-C9C4-586193588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414359" y="689738"/>
            <a:ext cx="312712" cy="3121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317732</xdr:colOff>
      <xdr:row>6</xdr:row>
      <xdr:rowOff>195065</xdr:rowOff>
    </xdr:from>
    <xdr:to>
      <xdr:col>0</xdr:col>
      <xdr:colOff>1866900</xdr:colOff>
      <xdr:row>8</xdr:row>
      <xdr:rowOff>194799</xdr:rowOff>
    </xdr:to>
    <xdr:grpSp>
      <xdr:nvGrpSpPr>
        <xdr:cNvPr id="21" name="Agrupar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94723E7-5A84-83B3-9712-C8D76B7E0836}"/>
            </a:ext>
          </a:extLst>
        </xdr:cNvPr>
        <xdr:cNvGrpSpPr/>
      </xdr:nvGrpSpPr>
      <xdr:grpSpPr>
        <a:xfrm>
          <a:off x="317732" y="1652390"/>
          <a:ext cx="1549168" cy="380734"/>
          <a:chOff x="343132" y="1760629"/>
          <a:chExt cx="1522455" cy="366879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584C2B9D-C669-027A-8D43-0344AAE66D8B}"/>
              </a:ext>
            </a:extLst>
          </xdr:cNvPr>
          <xdr:cNvSpPr/>
        </xdr:nvSpPr>
        <xdr:spPr>
          <a:xfrm>
            <a:off x="343132" y="1760629"/>
            <a:ext cx="1522455" cy="366879"/>
          </a:xfrm>
          <a:prstGeom prst="roundRect">
            <a:avLst>
              <a:gd name="adj" fmla="val 32000"/>
            </a:avLst>
          </a:prstGeom>
          <a:gradFill>
            <a:gsLst>
              <a:gs pos="54000">
                <a:schemeClr val="bg1"/>
              </a:gs>
              <a:gs pos="100000">
                <a:schemeClr val="bg1">
                  <a:lumMod val="75000"/>
                </a:schemeClr>
              </a:gs>
            </a:gsLst>
            <a:lin ang="0" scaled="0"/>
          </a:gradFill>
          <a:ln w="12700">
            <a:solidFill>
              <a:srgbClr val="0B428B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rgbClr val="002060"/>
                </a:solidFill>
                <a:latin typeface="+mn-lt"/>
                <a:ea typeface="+mn-ea"/>
                <a:cs typeface="+mn-cs"/>
              </a:rPr>
              <a:t>           DASHBOARD</a:t>
            </a:r>
          </a:p>
        </xdr:txBody>
      </xdr:sp>
      <xdr:pic>
        <xdr:nvPicPr>
          <xdr:cNvPr id="10" name="Gráfico 9" descr="Gráfico de pizza com preenchimento sólido">
            <a:extLst>
              <a:ext uri="{FF2B5EF4-FFF2-40B4-BE49-F238E27FC236}">
                <a16:creationId xmlns:a16="http://schemas.microsoft.com/office/drawing/2014/main" id="{3615A98C-BFA0-425E-BB3E-CE81328113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16324" y="1789979"/>
            <a:ext cx="308781" cy="30817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18</xdr:col>
      <xdr:colOff>241096</xdr:colOff>
      <xdr:row>1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27C24A0-A7D1-4608-A29D-33B5856913EA}"/>
            </a:ext>
          </a:extLst>
        </xdr:cNvPr>
        <xdr:cNvGrpSpPr/>
      </xdr:nvGrpSpPr>
      <xdr:grpSpPr>
        <a:xfrm>
          <a:off x="0" y="0"/>
          <a:ext cx="12833146" cy="504825"/>
          <a:chOff x="0" y="0"/>
          <a:chExt cx="13200375" cy="495520"/>
        </a:xfrm>
        <a:solidFill>
          <a:schemeClr val="bg1">
            <a:lumMod val="75000"/>
          </a:schemeClr>
        </a:solidFill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470E31A9-9D37-5ED6-068E-BD928B906A20}"/>
              </a:ext>
            </a:extLst>
          </xdr:cNvPr>
          <xdr:cNvSpPr/>
        </xdr:nvSpPr>
        <xdr:spPr>
          <a:xfrm>
            <a:off x="0" y="0"/>
            <a:ext cx="13200375" cy="49552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8806F44E-259A-FA31-A061-C688029A3755}"/>
              </a:ext>
            </a:extLst>
          </xdr:cNvPr>
          <xdr:cNvSpPr/>
        </xdr:nvSpPr>
        <xdr:spPr>
          <a:xfrm>
            <a:off x="1958434" y="115400"/>
            <a:ext cx="4576857" cy="28446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DASHBOARD</a:t>
            </a:r>
            <a:r>
              <a:rPr lang="pt-BR" sz="1400" b="1" baseline="0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DE TAREFAS</a:t>
            </a:r>
            <a:endParaRPr lang="pt-BR" sz="1400" b="1">
              <a:solidFill>
                <a:sysClr val="windowText" lastClr="000000"/>
              </a:solidFill>
              <a:latin typeface="Poppins" pitchFamily="2" charset="77"/>
              <a:cs typeface="Poppins" pitchFamily="2" charset="77"/>
            </a:endParaRPr>
          </a:p>
        </xdr:txBody>
      </xdr:sp>
    </xdr:grpSp>
    <xdr:clientData/>
  </xdr:twoCellAnchor>
  <xdr:twoCellAnchor editAs="absolute">
    <xdr:from>
      <xdr:col>2</xdr:col>
      <xdr:colOff>158260</xdr:colOff>
      <xdr:row>1</xdr:row>
      <xdr:rowOff>105505</xdr:rowOff>
    </xdr:from>
    <xdr:to>
      <xdr:col>4</xdr:col>
      <xdr:colOff>574422</xdr:colOff>
      <xdr:row>5</xdr:row>
      <xdr:rowOff>149466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56494DE8-3991-3CA0-BFC2-0E0A06734179}"/>
            </a:ext>
          </a:extLst>
        </xdr:cNvPr>
        <xdr:cNvGrpSpPr/>
      </xdr:nvGrpSpPr>
      <xdr:grpSpPr>
        <a:xfrm>
          <a:off x="2463310" y="610330"/>
          <a:ext cx="2197337" cy="805961"/>
          <a:chOff x="2520460" y="609597"/>
          <a:chExt cx="2239100" cy="91440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81E521-449B-B062-DC4F-9042F47D4D18}"/>
              </a:ext>
            </a:extLst>
          </xdr:cNvPr>
          <xdr:cNvGrpSpPr/>
        </xdr:nvGrpSpPr>
        <xdr:grpSpPr>
          <a:xfrm>
            <a:off x="2520460" y="609597"/>
            <a:ext cx="2127736" cy="914400"/>
            <a:chOff x="2391509" y="468921"/>
            <a:chExt cx="2127736" cy="914400"/>
          </a:xfrm>
        </xdr:grpSpPr>
        <xdr:sp macro="" textlink="">
          <xdr:nvSpPr>
            <xdr:cNvPr id="5" name="Retângulo: Cantos Arredondados 4">
              <a:extLst>
                <a:ext uri="{FF2B5EF4-FFF2-40B4-BE49-F238E27FC236}">
                  <a16:creationId xmlns:a16="http://schemas.microsoft.com/office/drawing/2014/main" id="{37D4DB6C-A2AD-7650-0E55-C6D139C56DB6}"/>
                </a:ext>
              </a:extLst>
            </xdr:cNvPr>
            <xdr:cNvSpPr/>
          </xdr:nvSpPr>
          <xdr:spPr>
            <a:xfrm>
              <a:off x="2508738" y="773723"/>
              <a:ext cx="2010507" cy="433754"/>
            </a:xfrm>
            <a:prstGeom prst="roundRect">
              <a:avLst>
                <a:gd name="adj" fmla="val 7436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2" name="Gráfico 21" descr="Marca de seleção com preenchimento sólido">
              <a:extLst>
                <a:ext uri="{FF2B5EF4-FFF2-40B4-BE49-F238E27FC236}">
                  <a16:creationId xmlns:a16="http://schemas.microsoft.com/office/drawing/2014/main" id="{A6022DC7-BD88-41C9-10D1-CF45EF83C8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2391509" y="468921"/>
              <a:ext cx="914400" cy="9144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D95870C9-1F69-23A0-808E-801231051015}"/>
              </a:ext>
            </a:extLst>
          </xdr:cNvPr>
          <xdr:cNvGrpSpPr/>
        </xdr:nvGrpSpPr>
        <xdr:grpSpPr>
          <a:xfrm>
            <a:off x="3253152" y="961292"/>
            <a:ext cx="1506408" cy="339969"/>
            <a:chOff x="3059721" y="1409700"/>
            <a:chExt cx="1506408" cy="339969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2390FD5B-C908-4E81-B977-05865A6D4F92}"/>
                </a:ext>
              </a:extLst>
            </xdr:cNvPr>
            <xdr:cNvSpPr/>
          </xdr:nvSpPr>
          <xdr:spPr>
            <a:xfrm>
              <a:off x="3059721" y="1409700"/>
              <a:ext cx="1096107" cy="339969"/>
            </a:xfrm>
            <a:prstGeom prst="roundRect">
              <a:avLst>
                <a:gd name="adj" fmla="val 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400" b="1">
                  <a:solidFill>
                    <a:sysClr val="windowText" lastClr="000000"/>
                  </a:solidFill>
                </a:rPr>
                <a:t>Concluídas</a:t>
              </a:r>
            </a:p>
          </xdr:txBody>
        </xdr:sp>
        <xdr:sp macro="" textlink="Apoio!E4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8CA19EC4-1FFD-A1EE-FEE5-002DD4E44F88}"/>
                </a:ext>
              </a:extLst>
            </xdr:cNvPr>
            <xdr:cNvSpPr/>
          </xdr:nvSpPr>
          <xdr:spPr>
            <a:xfrm>
              <a:off x="3897921" y="1409700"/>
              <a:ext cx="668208" cy="339969"/>
            </a:xfrm>
            <a:prstGeom prst="roundRect">
              <a:avLst>
                <a:gd name="adj" fmla="val 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100DF43-BF09-414C-9505-3CAAA7192177}" type="TxLink">
                <a:rPr lang="en-US" sz="16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ctr"/>
                <a:t>50%</a:t>
              </a:fld>
              <a:endParaRPr lang="pt-BR" sz="2000" b="1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 editAs="absolute">
    <xdr:from>
      <xdr:col>5</xdr:col>
      <xdr:colOff>375139</xdr:colOff>
      <xdr:row>1</xdr:row>
      <xdr:rowOff>169987</xdr:rowOff>
    </xdr:from>
    <xdr:to>
      <xdr:col>9</xdr:col>
      <xdr:colOff>46884</xdr:colOff>
      <xdr:row>5</xdr:row>
      <xdr:rowOff>213948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424FC3B-78C9-BC4E-6FA2-54ADF7FCB4B8}"/>
            </a:ext>
          </a:extLst>
        </xdr:cNvPr>
        <xdr:cNvGrpSpPr/>
      </xdr:nvGrpSpPr>
      <xdr:grpSpPr>
        <a:xfrm>
          <a:off x="5185264" y="674812"/>
          <a:ext cx="2138720" cy="786911"/>
          <a:chOff x="5240213" y="615463"/>
          <a:chExt cx="2221515" cy="91440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483C80FE-D780-4637-C495-76E6BE274196}"/>
              </a:ext>
            </a:extLst>
          </xdr:cNvPr>
          <xdr:cNvGrpSpPr/>
        </xdr:nvGrpSpPr>
        <xdr:grpSpPr>
          <a:xfrm>
            <a:off x="5240213" y="615463"/>
            <a:ext cx="2116015" cy="914400"/>
            <a:chOff x="5562600" y="509955"/>
            <a:chExt cx="2116015" cy="914400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B1678EF8-566B-B6A9-1C1D-99A4107B2858}"/>
                </a:ext>
              </a:extLst>
            </xdr:cNvPr>
            <xdr:cNvSpPr/>
          </xdr:nvSpPr>
          <xdr:spPr>
            <a:xfrm>
              <a:off x="5668108" y="750278"/>
              <a:ext cx="2010507" cy="433754"/>
            </a:xfrm>
            <a:prstGeom prst="roundRect">
              <a:avLst>
                <a:gd name="adj" fmla="val 7436"/>
              </a:avLst>
            </a:prstGeom>
            <a:solidFill>
              <a:schemeClr val="bg1">
                <a:lumMod val="9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5" name="Gráfico 24" descr="Fechar com preenchimento sólido">
              <a:extLst>
                <a:ext uri="{FF2B5EF4-FFF2-40B4-BE49-F238E27FC236}">
                  <a16:creationId xmlns:a16="http://schemas.microsoft.com/office/drawing/2014/main" id="{BD6734FE-BF5F-E819-A5F6-D28444B45A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562600" y="509955"/>
              <a:ext cx="914400" cy="91440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38178AC-6497-73A6-A8D1-604F4AA7D9A6}"/>
              </a:ext>
            </a:extLst>
          </xdr:cNvPr>
          <xdr:cNvGrpSpPr/>
        </xdr:nvGrpSpPr>
        <xdr:grpSpPr>
          <a:xfrm>
            <a:off x="5955320" y="899747"/>
            <a:ext cx="1506408" cy="339969"/>
            <a:chOff x="3059721" y="1409700"/>
            <a:chExt cx="1506408" cy="339969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D05BD55A-6A50-46B3-E6A5-92DF0AF1C005}"/>
                </a:ext>
              </a:extLst>
            </xdr:cNvPr>
            <xdr:cNvSpPr/>
          </xdr:nvSpPr>
          <xdr:spPr>
            <a:xfrm>
              <a:off x="3059721" y="1409700"/>
              <a:ext cx="1096107" cy="339969"/>
            </a:xfrm>
            <a:prstGeom prst="roundRect">
              <a:avLst>
                <a:gd name="adj" fmla="val 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400" b="1">
                  <a:solidFill>
                    <a:sysClr val="windowText" lastClr="000000"/>
                  </a:solidFill>
                </a:rPr>
                <a:t>Pendentes</a:t>
              </a:r>
            </a:p>
          </xdr:txBody>
        </xdr:sp>
        <xdr:sp macro="" textlink="Apoio!E5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28A20E5C-2AAA-3976-71C5-2E70304681C3}"/>
                </a:ext>
              </a:extLst>
            </xdr:cNvPr>
            <xdr:cNvSpPr/>
          </xdr:nvSpPr>
          <xdr:spPr>
            <a:xfrm>
              <a:off x="3897921" y="1409700"/>
              <a:ext cx="668208" cy="339969"/>
            </a:xfrm>
            <a:prstGeom prst="roundRect">
              <a:avLst>
                <a:gd name="adj" fmla="val 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751C7875-1794-42FC-A0FA-7F7D8CE82978}" type="TxLink">
                <a:rPr lang="en-US" sz="16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ctr"/>
                <a:t>50%</a:t>
              </a:fld>
              <a:endParaRPr lang="pt-BR" sz="1600" b="1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246187</xdr:colOff>
      <xdr:row>10</xdr:row>
      <xdr:rowOff>169984</xdr:rowOff>
    </xdr:from>
    <xdr:to>
      <xdr:col>17</xdr:col>
      <xdr:colOff>128955</xdr:colOff>
      <xdr:row>26</xdr:row>
      <xdr:rowOff>117230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FD47BD4D-3317-FFEA-652A-FCA3906036E5}"/>
            </a:ext>
          </a:extLst>
        </xdr:cNvPr>
        <xdr:cNvGrpSpPr/>
      </xdr:nvGrpSpPr>
      <xdr:grpSpPr>
        <a:xfrm>
          <a:off x="2294062" y="2513134"/>
          <a:ext cx="9836393" cy="2995246"/>
          <a:chOff x="2321170" y="2532184"/>
          <a:chExt cx="10128738" cy="2854569"/>
        </a:xfrm>
      </xdr:grpSpPr>
      <xdr:sp macro="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90D416B-2C57-45D0-92EC-DEF622E589E2}"/>
              </a:ext>
            </a:extLst>
          </xdr:cNvPr>
          <xdr:cNvSpPr/>
        </xdr:nvSpPr>
        <xdr:spPr>
          <a:xfrm>
            <a:off x="2321170" y="2532184"/>
            <a:ext cx="10128738" cy="2854569"/>
          </a:xfrm>
          <a:prstGeom prst="roundRect">
            <a:avLst>
              <a:gd name="adj" fmla="val 2303"/>
            </a:avLst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151A0B69-0EB0-48CE-8E76-65DD6A00CECD}"/>
              </a:ext>
            </a:extLst>
          </xdr:cNvPr>
          <xdr:cNvGraphicFramePr>
            <a:graphicFrameLocks/>
          </xdr:cNvGraphicFramePr>
        </xdr:nvGraphicFramePr>
        <xdr:xfrm>
          <a:off x="2394439" y="2587868"/>
          <a:ext cx="9982201" cy="2743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228601</xdr:colOff>
      <xdr:row>31</xdr:row>
      <xdr:rowOff>134816</xdr:rowOff>
    </xdr:from>
    <xdr:to>
      <xdr:col>17</xdr:col>
      <xdr:colOff>111369</xdr:colOff>
      <xdr:row>47</xdr:row>
      <xdr:rowOff>82062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3088BE02-91FF-02CC-A4E4-BB6212BD9167}"/>
            </a:ext>
          </a:extLst>
        </xdr:cNvPr>
        <xdr:cNvGrpSpPr/>
      </xdr:nvGrpSpPr>
      <xdr:grpSpPr>
        <a:xfrm>
          <a:off x="2276476" y="6602291"/>
          <a:ext cx="9836393" cy="2995246"/>
          <a:chOff x="2338755" y="6365631"/>
          <a:chExt cx="10128738" cy="285456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4C09BD42-676C-4737-8047-110403B843B6}"/>
              </a:ext>
            </a:extLst>
          </xdr:cNvPr>
          <xdr:cNvSpPr/>
        </xdr:nvSpPr>
        <xdr:spPr>
          <a:xfrm>
            <a:off x="2338755" y="6365631"/>
            <a:ext cx="10128738" cy="2854569"/>
          </a:xfrm>
          <a:prstGeom prst="roundRect">
            <a:avLst>
              <a:gd name="adj" fmla="val 2303"/>
            </a:avLst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3" name="Gráfico 42">
            <a:extLst>
              <a:ext uri="{FF2B5EF4-FFF2-40B4-BE49-F238E27FC236}">
                <a16:creationId xmlns:a16="http://schemas.microsoft.com/office/drawing/2014/main" id="{B00F9F2E-DF65-434C-B5BC-6EC75E760811}"/>
              </a:ext>
            </a:extLst>
          </xdr:cNvPr>
          <xdr:cNvGraphicFramePr>
            <a:graphicFrameLocks/>
          </xdr:cNvGraphicFramePr>
        </xdr:nvGraphicFramePr>
        <xdr:xfrm>
          <a:off x="2429608" y="6421315"/>
          <a:ext cx="9947032" cy="2743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>
    <xdr:from>
      <xdr:col>1</xdr:col>
      <xdr:colOff>228601</xdr:colOff>
      <xdr:row>52</xdr:row>
      <xdr:rowOff>134816</xdr:rowOff>
    </xdr:from>
    <xdr:to>
      <xdr:col>17</xdr:col>
      <xdr:colOff>111369</xdr:colOff>
      <xdr:row>68</xdr:row>
      <xdr:rowOff>82062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C7475AE6-98ED-4D71-AFAA-FB524096439F}"/>
            </a:ext>
          </a:extLst>
        </xdr:cNvPr>
        <xdr:cNvGrpSpPr/>
      </xdr:nvGrpSpPr>
      <xdr:grpSpPr>
        <a:xfrm>
          <a:off x="2276476" y="10726616"/>
          <a:ext cx="9836393" cy="2995246"/>
          <a:chOff x="2338755" y="6365631"/>
          <a:chExt cx="10128738" cy="2854569"/>
        </a:xfrm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8FFCA1D9-84DF-2D64-6800-1AC01708ACCB}"/>
              </a:ext>
            </a:extLst>
          </xdr:cNvPr>
          <xdr:cNvSpPr/>
        </xdr:nvSpPr>
        <xdr:spPr>
          <a:xfrm>
            <a:off x="2338755" y="6365631"/>
            <a:ext cx="10128738" cy="2854569"/>
          </a:xfrm>
          <a:prstGeom prst="roundRect">
            <a:avLst>
              <a:gd name="adj" fmla="val 2303"/>
            </a:avLst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8" name="Gráfico 47">
            <a:extLst>
              <a:ext uri="{FF2B5EF4-FFF2-40B4-BE49-F238E27FC236}">
                <a16:creationId xmlns:a16="http://schemas.microsoft.com/office/drawing/2014/main" id="{496B7CF2-5713-A503-D558-4C0CA855E1E8}"/>
              </a:ext>
            </a:extLst>
          </xdr:cNvPr>
          <xdr:cNvGraphicFramePr>
            <a:graphicFrameLocks/>
          </xdr:cNvGraphicFramePr>
        </xdr:nvGraphicFramePr>
        <xdr:xfrm>
          <a:off x="2429608" y="6421315"/>
          <a:ext cx="9947032" cy="2743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  <xdr:twoCellAnchor>
    <xdr:from>
      <xdr:col>9</xdr:col>
      <xdr:colOff>586154</xdr:colOff>
      <xdr:row>3</xdr:row>
      <xdr:rowOff>54219</xdr:rowOff>
    </xdr:from>
    <xdr:to>
      <xdr:col>17</xdr:col>
      <xdr:colOff>105510</xdr:colOff>
      <xdr:row>5</xdr:row>
      <xdr:rowOff>124558</xdr:rowOff>
    </xdr:to>
    <xdr:grpSp>
      <xdr:nvGrpSpPr>
        <xdr:cNvPr id="56" name="Agrupar 5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70EA441-0955-15A4-5042-53AEE3E12F63}"/>
            </a:ext>
          </a:extLst>
        </xdr:cNvPr>
        <xdr:cNvGrpSpPr/>
      </xdr:nvGrpSpPr>
      <xdr:grpSpPr>
        <a:xfrm>
          <a:off x="7863254" y="940044"/>
          <a:ext cx="4243756" cy="451339"/>
          <a:chOff x="7977551" y="945174"/>
          <a:chExt cx="4396156" cy="433754"/>
        </a:xfrm>
      </xdr:grpSpPr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8351484E-AAED-2F4A-336E-021EA866C533}"/>
              </a:ext>
            </a:extLst>
          </xdr:cNvPr>
          <xdr:cNvSpPr/>
        </xdr:nvSpPr>
        <xdr:spPr>
          <a:xfrm>
            <a:off x="7977551" y="945174"/>
            <a:ext cx="4396156" cy="433754"/>
          </a:xfrm>
          <a:prstGeom prst="roundRect">
            <a:avLst>
              <a:gd name="adj" fmla="val 7436"/>
            </a:avLst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D12B8120-CE01-4E11-D0EF-05180B94FFDD}"/>
              </a:ext>
            </a:extLst>
          </xdr:cNvPr>
          <xdr:cNvSpPr/>
        </xdr:nvSpPr>
        <xdr:spPr>
          <a:xfrm>
            <a:off x="8462593" y="984741"/>
            <a:ext cx="3426072" cy="354621"/>
          </a:xfrm>
          <a:prstGeom prst="roundRect">
            <a:avLst>
              <a:gd name="adj" fmla="val 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 baseline="0">
                <a:solidFill>
                  <a:sysClr val="windowText" lastClr="000000"/>
                </a:solidFill>
              </a:rPr>
              <a:t>Conheça o Pacote Completo de Planilhas</a:t>
            </a:r>
          </a:p>
        </xdr:txBody>
      </xdr:sp>
    </xdr:grpSp>
    <xdr:clientData/>
  </xdr:twoCellAnchor>
  <xdr:twoCellAnchor editAs="oneCell">
    <xdr:from>
      <xdr:col>14</xdr:col>
      <xdr:colOff>406400</xdr:colOff>
      <xdr:row>0</xdr:row>
      <xdr:rowOff>1</xdr:rowOff>
    </xdr:from>
    <xdr:to>
      <xdr:col>17</xdr:col>
      <xdr:colOff>558800</xdr:colOff>
      <xdr:row>0</xdr:row>
      <xdr:rowOff>480377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D5005339-74CD-9DFB-099D-D77317795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77700" y="1"/>
          <a:ext cx="2171700" cy="480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65321</xdr:colOff>
      <xdr:row>1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E375BC73-12C8-4BE2-8DEB-853F20953B12}"/>
            </a:ext>
          </a:extLst>
        </xdr:cNvPr>
        <xdr:cNvGrpSpPr/>
      </xdr:nvGrpSpPr>
      <xdr:grpSpPr>
        <a:xfrm>
          <a:off x="0" y="0"/>
          <a:ext cx="12847871" cy="504825"/>
          <a:chOff x="0" y="0"/>
          <a:chExt cx="13200375" cy="495520"/>
        </a:xfrm>
        <a:solidFill>
          <a:schemeClr val="bg1">
            <a:lumMod val="75000"/>
          </a:schemeClr>
        </a:solidFill>
      </xdr:grpSpPr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5D26166-CBCA-AB06-8447-9E8FA4C0D6BC}"/>
              </a:ext>
            </a:extLst>
          </xdr:cNvPr>
          <xdr:cNvSpPr/>
        </xdr:nvSpPr>
        <xdr:spPr>
          <a:xfrm>
            <a:off x="0" y="0"/>
            <a:ext cx="13200375" cy="49552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7F921A4F-CF6F-1575-B969-573464052F25}"/>
              </a:ext>
            </a:extLst>
          </xdr:cNvPr>
          <xdr:cNvSpPr/>
        </xdr:nvSpPr>
        <xdr:spPr>
          <a:xfrm>
            <a:off x="447391" y="115400"/>
            <a:ext cx="7736162" cy="284462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400" b="1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APOIO DASHBOARD - NÃO</a:t>
            </a:r>
            <a:r>
              <a:rPr lang="pt-BR" sz="1400" b="1" baseline="0">
                <a:solidFill>
                  <a:sysClr val="windowText" lastClr="000000"/>
                </a:solidFill>
                <a:latin typeface="Poppins" pitchFamily="2" charset="77"/>
                <a:cs typeface="Poppins" pitchFamily="2" charset="77"/>
              </a:rPr>
              <a:t> MEXA NESTA TELA SE NÃO TEM EXCEL AVANÇADO</a:t>
            </a:r>
            <a:endParaRPr lang="pt-BR" sz="1400" b="1">
              <a:solidFill>
                <a:sysClr val="windowText" lastClr="000000"/>
              </a:solidFill>
              <a:latin typeface="Poppins" pitchFamily="2" charset="77"/>
              <a:cs typeface="Poppins" pitchFamily="2" charset="77"/>
            </a:endParaRPr>
          </a:p>
        </xdr:txBody>
      </xdr:sp>
    </xdr:grpSp>
    <xdr:clientData/>
  </xdr:twoCellAnchor>
  <xdr:twoCellAnchor editAs="oneCell">
    <xdr:from>
      <xdr:col>10</xdr:col>
      <xdr:colOff>241300</xdr:colOff>
      <xdr:row>0</xdr:row>
      <xdr:rowOff>0</xdr:rowOff>
    </xdr:from>
    <xdr:to>
      <xdr:col>13</xdr:col>
      <xdr:colOff>330200</xdr:colOff>
      <xdr:row>0</xdr:row>
      <xdr:rowOff>466330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8202220-181F-A56A-198D-4F866984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5400" y="0"/>
          <a:ext cx="2108200" cy="4663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d.docs.live.net/83a4bd2f3ab69961/Trabalho/Produtos/Pack%20BePro/Planilhas/Download/AcademiaBePro_PackBePro_PlanilhasProfisionais/Pacote%20Planilhas%20Profissionais/Comercial%20e%20Vendas/AcademiaBePro-AgendamentoClientes.xlsm?FE559F64" TargetMode="External"/><Relationship Id="rId1" Type="http://schemas.openxmlformats.org/officeDocument/2006/relationships/externalLinkPath" Target="file:///\\FE559F64\AcademiaBePro-AgendamentoClie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PLANILHA"/>
      <sheetName val="AGENDA"/>
      <sheetName val="CLASSIFICACAO"/>
      <sheetName val="MAIS PRODUTOS"/>
    </sheetNames>
    <sheetDataSet>
      <sheetData sheetId="0"/>
      <sheetData sheetId="1"/>
      <sheetData sheetId="2"/>
      <sheetData sheetId="3">
        <row r="3">
          <cell r="G3" t="str">
            <v>MÊS</v>
          </cell>
        </row>
        <row r="5">
          <cell r="G5">
            <v>12</v>
          </cell>
        </row>
        <row r="6">
          <cell r="G6" t="str">
            <v>Meses</v>
          </cell>
        </row>
        <row r="7">
          <cell r="G7" t="str">
            <v>Janeiro</v>
          </cell>
        </row>
        <row r="8">
          <cell r="G8" t="str">
            <v>Fevereiro</v>
          </cell>
        </row>
        <row r="9">
          <cell r="G9" t="str">
            <v>Março</v>
          </cell>
        </row>
        <row r="10">
          <cell r="G10" t="str">
            <v>Abril</v>
          </cell>
        </row>
        <row r="11">
          <cell r="G11" t="str">
            <v>Maio</v>
          </cell>
        </row>
        <row r="12">
          <cell r="G12" t="str">
            <v>Junho</v>
          </cell>
        </row>
        <row r="13">
          <cell r="G13" t="str">
            <v>Julho</v>
          </cell>
        </row>
        <row r="14">
          <cell r="G14" t="str">
            <v>Agosto</v>
          </cell>
        </row>
        <row r="15">
          <cell r="G15" t="str">
            <v>Setembro</v>
          </cell>
        </row>
        <row r="16">
          <cell r="G16" t="str">
            <v>Outubro</v>
          </cell>
        </row>
        <row r="17">
          <cell r="G17" t="str">
            <v>Novembro</v>
          </cell>
        </row>
        <row r="18">
          <cell r="G18" t="str">
            <v>Dezembro</v>
          </cell>
        </row>
      </sheetData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F55B07-D07B-4614-96FC-3711E7C96118}" name="TabTarefas" displayName="TabTarefas" ref="C3:H31" totalsRowShown="0" headerRowDxfId="16" dataDxfId="15">
  <autoFilter ref="C3:H31" xr:uid="{88F55B07-D07B-4614-96FC-3711E7C96118}"/>
  <tableColumns count="6">
    <tableColumn id="1" xr3:uid="{1D60ADB6-6582-4FBF-B881-16FD23ED329A}" name="Data Início" dataDxfId="14"/>
    <tableColumn id="14" xr3:uid="{560EB122-4271-46B6-A834-75D6EF64924D}" name="Data Término" dataDxfId="13"/>
    <tableColumn id="13" xr3:uid="{756E5896-8BDF-442A-8C73-D89C5B032226}" name="Tarefa" dataDxfId="12"/>
    <tableColumn id="2" xr3:uid="{26C957E4-679E-43FF-96DA-BF185C7AE252}" name="Responsável" dataDxfId="11"/>
    <tableColumn id="3" xr3:uid="{77F9281A-5765-43E5-A348-269E8944A59A}" name="Grupo" dataDxfId="10"/>
    <tableColumn id="4" xr3:uid="{CDC9D05C-E6F1-4DF2-99EC-7BF0064028A2}" name="Status" dataDxfId="9"/>
  </tableColumns>
  <tableStyleInfo name="Tabel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E49F2-9F5B-4C7D-87F4-E652A93553FD}" name="Responsavel" displayName="Responsavel" ref="C3:C13" totalsRowShown="0" headerRowDxfId="8" dataDxfId="7">
  <autoFilter ref="C3:C13" xr:uid="{DF6E49F2-9F5B-4C7D-87F4-E652A93553FD}"/>
  <tableColumns count="1">
    <tableColumn id="1" xr3:uid="{5F449786-B539-40A5-8BB8-707773EADCF2}" name="Responsável" dataDxfId="6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6E768B-05DF-4BE7-A5C5-77781471DF39}" name="Grupo" displayName="Grupo" ref="E3:E13" totalsRowShown="0" headerRowDxfId="5" dataDxfId="4">
  <autoFilter ref="E3:E13" xr:uid="{E66E768B-05DF-4BE7-A5C5-77781471DF39}"/>
  <tableColumns count="1">
    <tableColumn id="1" xr3:uid="{2C767C48-75F4-409A-9010-0078689A319C}" name="Grupo" dataDxfId="3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3DFBEF-B608-49E2-ADFA-B3B860B7BD91}" name="Status" displayName="Status" ref="G3:G8" totalsRowShown="0" headerRowDxfId="2" dataDxfId="1">
  <autoFilter ref="G3:G8" xr:uid="{C23DFBEF-B608-49E2-ADFA-B3B860B7BD91}"/>
  <tableColumns count="1">
    <tableColumn id="1" xr3:uid="{343B516A-9303-4114-8FFB-2CD55E9F2941}" name="Status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FCA9-59C0-4039-B648-339FCC8FBF1A}">
  <sheetPr codeName="Planilha1"/>
  <dimension ref="A1:J97"/>
  <sheetViews>
    <sheetView showGridLines="0" tabSelected="1" zoomScaleNormal="100" workbookViewId="0">
      <pane ySplit="1" topLeftCell="A2" activePane="bottomLeft" state="frozen"/>
      <selection pane="bottomLeft" activeCell="E23" sqref="E23"/>
    </sheetView>
  </sheetViews>
  <sheetFormatPr defaultColWidth="8.85546875" defaultRowHeight="15" customHeight="1"/>
  <cols>
    <col min="1" max="1" width="30.7109375" style="2" customWidth="1"/>
    <col min="2" max="2" width="3.85546875" style="2" customWidth="1"/>
    <col min="3" max="4" width="15.85546875" style="3" customWidth="1"/>
    <col min="5" max="5" width="50.85546875" style="3" customWidth="1"/>
    <col min="6" max="6" width="15.85546875" style="2" customWidth="1"/>
    <col min="7" max="8" width="15.85546875" style="3" customWidth="1"/>
    <col min="9" max="16384" width="8.85546875" style="2"/>
  </cols>
  <sheetData>
    <row r="1" spans="1:10" customFormat="1" ht="39.950000000000003" customHeight="1">
      <c r="C1" s="1"/>
      <c r="D1" s="1"/>
      <c r="E1" s="1"/>
      <c r="G1" s="1"/>
      <c r="H1" s="1"/>
    </row>
    <row r="2" spans="1:10" customFormat="1">
      <c r="A2" s="4"/>
      <c r="C2" s="1"/>
      <c r="D2" s="1"/>
      <c r="E2" s="1"/>
      <c r="G2" s="1"/>
      <c r="H2" s="1"/>
    </row>
    <row r="3" spans="1:10" ht="15" customHeight="1">
      <c r="A3" s="11"/>
      <c r="B3" s="7"/>
      <c r="C3" s="10" t="s">
        <v>11</v>
      </c>
      <c r="D3" s="10" t="s">
        <v>12</v>
      </c>
      <c r="E3" s="10" t="s">
        <v>10</v>
      </c>
      <c r="F3" s="10" t="s">
        <v>0</v>
      </c>
      <c r="G3" s="10" t="s">
        <v>1</v>
      </c>
      <c r="H3" s="10" t="s">
        <v>2</v>
      </c>
      <c r="I3" s="7"/>
      <c r="J3" s="7"/>
    </row>
    <row r="4" spans="1:10" ht="15" customHeight="1">
      <c r="A4" s="11"/>
      <c r="B4" s="7"/>
      <c r="C4" s="13">
        <v>45082</v>
      </c>
      <c r="D4" s="13">
        <v>45084</v>
      </c>
      <c r="E4" s="14" t="s">
        <v>22</v>
      </c>
      <c r="F4" s="10" t="s">
        <v>3</v>
      </c>
      <c r="G4" s="10" t="s">
        <v>4</v>
      </c>
      <c r="H4" s="10" t="s">
        <v>7</v>
      </c>
      <c r="I4" s="7"/>
      <c r="J4" s="7"/>
    </row>
    <row r="5" spans="1:10" ht="15" customHeight="1">
      <c r="A5" s="11"/>
      <c r="B5" s="7"/>
      <c r="C5" s="13">
        <v>45082</v>
      </c>
      <c r="D5" s="13">
        <v>45084</v>
      </c>
      <c r="E5" s="14" t="s">
        <v>23</v>
      </c>
      <c r="F5" s="10" t="s">
        <v>3</v>
      </c>
      <c r="G5" s="10" t="s">
        <v>4</v>
      </c>
      <c r="H5" s="10" t="s">
        <v>7</v>
      </c>
      <c r="I5" s="7"/>
      <c r="J5" s="7"/>
    </row>
    <row r="6" spans="1:10" ht="15" customHeight="1">
      <c r="A6" s="11"/>
      <c r="B6" s="7"/>
      <c r="C6" s="13"/>
      <c r="D6" s="13"/>
      <c r="E6" s="14"/>
      <c r="F6" s="10"/>
      <c r="G6" s="10"/>
      <c r="H6" s="10"/>
      <c r="I6" s="7"/>
      <c r="J6" s="7"/>
    </row>
    <row r="7" spans="1:10" ht="15" customHeight="1">
      <c r="A7" s="11"/>
      <c r="B7" s="7"/>
      <c r="C7" s="13"/>
      <c r="D7" s="13"/>
      <c r="E7" s="14"/>
      <c r="F7" s="10"/>
      <c r="G7" s="10"/>
      <c r="H7" s="10"/>
      <c r="I7" s="7"/>
      <c r="J7" s="7"/>
    </row>
    <row r="8" spans="1:10" ht="15" customHeight="1">
      <c r="A8" s="11"/>
      <c r="B8" s="7"/>
      <c r="C8" s="13"/>
      <c r="D8" s="13"/>
      <c r="E8" s="14"/>
      <c r="F8" s="10"/>
      <c r="G8" s="10"/>
      <c r="H8" s="10"/>
      <c r="I8" s="7"/>
      <c r="J8" s="7"/>
    </row>
    <row r="9" spans="1:10" ht="15" customHeight="1">
      <c r="A9" s="11"/>
      <c r="B9" s="7"/>
      <c r="C9" s="13"/>
      <c r="D9" s="13"/>
      <c r="E9" s="14"/>
      <c r="F9" s="10"/>
      <c r="G9" s="10"/>
      <c r="H9" s="10"/>
      <c r="I9" s="7"/>
      <c r="J9" s="7"/>
    </row>
    <row r="10" spans="1:10" ht="15" customHeight="1">
      <c r="A10" s="11"/>
      <c r="B10" s="7"/>
      <c r="C10" s="13"/>
      <c r="D10" s="13"/>
      <c r="E10" s="14"/>
      <c r="F10" s="10"/>
      <c r="G10" s="10"/>
      <c r="H10" s="10"/>
      <c r="I10" s="7"/>
      <c r="J10" s="7"/>
    </row>
    <row r="11" spans="1:10" ht="15" customHeight="1">
      <c r="A11" s="11"/>
      <c r="B11" s="7"/>
      <c r="C11" s="13"/>
      <c r="D11" s="13"/>
      <c r="E11" s="14"/>
      <c r="F11" s="10"/>
      <c r="G11" s="10"/>
      <c r="H11" s="10"/>
      <c r="I11" s="7"/>
      <c r="J11" s="7"/>
    </row>
    <row r="12" spans="1:10" ht="15" customHeight="1">
      <c r="A12" s="11"/>
      <c r="B12" s="7"/>
      <c r="C12" s="13"/>
      <c r="D12" s="13"/>
      <c r="E12" s="14"/>
      <c r="F12" s="10"/>
      <c r="G12" s="10"/>
      <c r="H12" s="10"/>
      <c r="I12" s="7"/>
      <c r="J12" s="7"/>
    </row>
    <row r="13" spans="1:10" ht="15" customHeight="1">
      <c r="A13" s="11"/>
      <c r="B13" s="7"/>
      <c r="C13" s="13"/>
      <c r="D13" s="13"/>
      <c r="E13" s="14"/>
      <c r="F13" s="10"/>
      <c r="G13" s="10"/>
      <c r="H13" s="10"/>
      <c r="I13" s="7"/>
      <c r="J13" s="7"/>
    </row>
    <row r="14" spans="1:10" ht="15" customHeight="1">
      <c r="A14" s="11"/>
      <c r="B14" s="7"/>
      <c r="C14" s="13"/>
      <c r="D14" s="13"/>
      <c r="E14" s="14"/>
      <c r="F14" s="10"/>
      <c r="G14" s="10"/>
      <c r="H14" s="10"/>
      <c r="I14" s="7"/>
      <c r="J14" s="7"/>
    </row>
    <row r="15" spans="1:10" ht="15" customHeight="1">
      <c r="A15" s="11"/>
      <c r="B15" s="7"/>
      <c r="C15" s="13"/>
      <c r="D15" s="13"/>
      <c r="E15" s="14"/>
      <c r="F15" s="10"/>
      <c r="G15" s="10"/>
      <c r="H15" s="10"/>
      <c r="I15" s="7"/>
      <c r="J15" s="7"/>
    </row>
    <row r="16" spans="1:10" ht="15" customHeight="1">
      <c r="A16" s="11"/>
      <c r="B16" s="7"/>
      <c r="C16" s="13"/>
      <c r="D16" s="13"/>
      <c r="E16" s="14"/>
      <c r="F16" s="10"/>
      <c r="G16" s="10"/>
      <c r="H16" s="10"/>
      <c r="I16" s="7"/>
      <c r="J16" s="7"/>
    </row>
    <row r="17" spans="1:10" ht="15" customHeight="1">
      <c r="A17" s="11"/>
      <c r="B17" s="7"/>
      <c r="C17" s="13"/>
      <c r="D17" s="13"/>
      <c r="E17" s="14"/>
      <c r="F17" s="10"/>
      <c r="G17" s="10"/>
      <c r="H17" s="10"/>
      <c r="I17" s="7"/>
      <c r="J17" s="7"/>
    </row>
    <row r="18" spans="1:10" ht="15" customHeight="1">
      <c r="A18" s="11"/>
      <c r="B18" s="7"/>
      <c r="C18" s="13"/>
      <c r="D18" s="13"/>
      <c r="E18" s="14"/>
      <c r="F18" s="10"/>
      <c r="G18" s="10"/>
      <c r="H18" s="10"/>
      <c r="I18" s="7"/>
      <c r="J18" s="7"/>
    </row>
    <row r="19" spans="1:10" ht="15" customHeight="1">
      <c r="A19" s="11"/>
      <c r="B19" s="7"/>
      <c r="C19" s="13"/>
      <c r="D19" s="13"/>
      <c r="E19" s="14"/>
      <c r="F19" s="10"/>
      <c r="G19" s="10"/>
      <c r="H19" s="10"/>
      <c r="I19" s="7"/>
      <c r="J19" s="7"/>
    </row>
    <row r="20" spans="1:10" ht="15" customHeight="1">
      <c r="A20" s="11"/>
      <c r="B20" s="7"/>
      <c r="C20" s="13"/>
      <c r="D20" s="13"/>
      <c r="E20" s="14"/>
      <c r="F20" s="10"/>
      <c r="G20" s="10"/>
      <c r="H20" s="10"/>
      <c r="I20" s="7"/>
      <c r="J20" s="7"/>
    </row>
    <row r="21" spans="1:10" ht="15" customHeight="1">
      <c r="A21" s="11"/>
      <c r="B21" s="7"/>
      <c r="C21" s="13"/>
      <c r="D21" s="13"/>
      <c r="E21" s="14"/>
      <c r="F21" s="10"/>
      <c r="G21" s="10"/>
      <c r="H21" s="10"/>
      <c r="I21" s="7"/>
      <c r="J21" s="7"/>
    </row>
    <row r="22" spans="1:10" ht="15" customHeight="1">
      <c r="A22" s="11"/>
      <c r="B22" s="7"/>
      <c r="C22" s="13"/>
      <c r="D22" s="13"/>
      <c r="E22" s="14"/>
      <c r="F22" s="10"/>
      <c r="G22" s="10"/>
      <c r="H22" s="10"/>
      <c r="I22" s="7"/>
      <c r="J22" s="7"/>
    </row>
    <row r="23" spans="1:10" ht="15" customHeight="1">
      <c r="A23" s="11"/>
      <c r="B23" s="7"/>
      <c r="C23" s="13"/>
      <c r="D23" s="13"/>
      <c r="E23" s="14"/>
      <c r="F23" s="10"/>
      <c r="G23" s="10"/>
      <c r="H23" s="10"/>
      <c r="I23" s="7"/>
      <c r="J23" s="7"/>
    </row>
    <row r="24" spans="1:10" ht="15" customHeight="1">
      <c r="A24" s="11"/>
      <c r="B24" s="7"/>
      <c r="C24" s="13"/>
      <c r="D24" s="13"/>
      <c r="E24" s="14"/>
      <c r="F24" s="10"/>
      <c r="G24" s="10"/>
      <c r="H24" s="10"/>
      <c r="I24" s="7"/>
      <c r="J24" s="7"/>
    </row>
    <row r="25" spans="1:10" ht="15" customHeight="1">
      <c r="A25" s="11"/>
      <c r="B25" s="7"/>
      <c r="C25" s="13"/>
      <c r="D25" s="13"/>
      <c r="E25" s="14"/>
      <c r="F25" s="10"/>
      <c r="G25" s="10"/>
      <c r="H25" s="10"/>
      <c r="I25" s="7"/>
      <c r="J25" s="7"/>
    </row>
    <row r="26" spans="1:10" ht="15" customHeight="1">
      <c r="A26" s="11"/>
      <c r="B26" s="7"/>
      <c r="C26" s="13"/>
      <c r="D26" s="13"/>
      <c r="E26" s="14"/>
      <c r="F26" s="10"/>
      <c r="G26" s="10"/>
      <c r="H26" s="10"/>
      <c r="I26" s="7"/>
      <c r="J26" s="7"/>
    </row>
    <row r="27" spans="1:10" ht="15" customHeight="1">
      <c r="A27" s="11"/>
      <c r="B27" s="7"/>
      <c r="C27" s="13"/>
      <c r="D27" s="13"/>
      <c r="E27" s="14"/>
      <c r="F27" s="10"/>
      <c r="G27" s="10"/>
      <c r="H27" s="10"/>
      <c r="I27" s="7"/>
      <c r="J27" s="7"/>
    </row>
    <row r="28" spans="1:10" ht="15" customHeight="1">
      <c r="A28" s="11"/>
      <c r="B28" s="7"/>
      <c r="C28" s="13"/>
      <c r="D28" s="13"/>
      <c r="E28" s="14"/>
      <c r="F28" s="10"/>
      <c r="G28" s="10"/>
      <c r="H28" s="10"/>
      <c r="I28" s="7"/>
      <c r="J28" s="7"/>
    </row>
    <row r="29" spans="1:10" ht="15" customHeight="1">
      <c r="A29" s="11"/>
      <c r="B29" s="7"/>
      <c r="C29" s="13"/>
      <c r="D29" s="13"/>
      <c r="E29" s="14"/>
      <c r="F29" s="10"/>
      <c r="G29" s="10"/>
      <c r="H29" s="10"/>
      <c r="I29" s="7"/>
      <c r="J29" s="7"/>
    </row>
    <row r="30" spans="1:10" ht="15" customHeight="1">
      <c r="A30" s="11"/>
      <c r="B30" s="7"/>
      <c r="C30" s="13"/>
      <c r="D30" s="13"/>
      <c r="E30" s="14"/>
      <c r="F30" s="10"/>
      <c r="G30" s="10"/>
      <c r="H30" s="10"/>
      <c r="I30" s="7"/>
      <c r="J30" s="7"/>
    </row>
    <row r="31" spans="1:10" ht="15" customHeight="1">
      <c r="A31" s="11"/>
      <c r="B31" s="7"/>
      <c r="C31" s="13"/>
      <c r="D31" s="13"/>
      <c r="E31" s="14"/>
      <c r="F31" s="10"/>
      <c r="G31" s="10"/>
      <c r="H31" s="10"/>
      <c r="I31" s="7"/>
      <c r="J31" s="7"/>
    </row>
    <row r="32" spans="1:10" ht="15" customHeight="1">
      <c r="A32" s="11"/>
      <c r="B32" s="7"/>
      <c r="C32" s="10"/>
      <c r="D32" s="10"/>
      <c r="E32" s="10"/>
      <c r="F32" s="7"/>
      <c r="G32" s="10"/>
      <c r="H32" s="10"/>
      <c r="I32" s="7"/>
      <c r="J32" s="7"/>
    </row>
    <row r="33" spans="1:1" ht="15" customHeight="1">
      <c r="A33" s="11"/>
    </row>
    <row r="34" spans="1:1" ht="15" customHeight="1">
      <c r="A34" s="11"/>
    </row>
    <row r="35" spans="1:1" ht="15" customHeight="1">
      <c r="A35" s="11"/>
    </row>
    <row r="36" spans="1:1" ht="15" customHeight="1">
      <c r="A36" s="11"/>
    </row>
    <row r="37" spans="1:1" ht="15" customHeight="1">
      <c r="A37" s="11"/>
    </row>
    <row r="38" spans="1:1" ht="15" customHeight="1">
      <c r="A38" s="11"/>
    </row>
    <row r="39" spans="1:1" ht="15" customHeight="1">
      <c r="A39" s="11"/>
    </row>
    <row r="40" spans="1:1" ht="15" customHeight="1">
      <c r="A40" s="11"/>
    </row>
    <row r="41" spans="1:1" ht="15" customHeight="1">
      <c r="A41" s="11"/>
    </row>
    <row r="42" spans="1:1" ht="15" customHeight="1">
      <c r="A42" s="11"/>
    </row>
    <row r="43" spans="1:1" ht="15" customHeight="1">
      <c r="A43" s="11"/>
    </row>
    <row r="44" spans="1:1" ht="15" customHeight="1">
      <c r="A44" s="11"/>
    </row>
    <row r="45" spans="1:1" ht="15" customHeight="1">
      <c r="A45" s="11"/>
    </row>
    <row r="46" spans="1:1" ht="15" customHeight="1">
      <c r="A46" s="11"/>
    </row>
    <row r="47" spans="1:1" ht="15" customHeight="1">
      <c r="A47" s="11"/>
    </row>
    <row r="48" spans="1:1" ht="15" customHeight="1">
      <c r="A48" s="11"/>
    </row>
    <row r="49" spans="1:1" ht="15" customHeight="1">
      <c r="A49" s="11"/>
    </row>
    <row r="50" spans="1:1" ht="15" customHeight="1">
      <c r="A50" s="11"/>
    </row>
    <row r="51" spans="1:1" ht="15" customHeight="1">
      <c r="A51" s="11"/>
    </row>
    <row r="52" spans="1:1" ht="15" customHeight="1">
      <c r="A52" s="11"/>
    </row>
    <row r="53" spans="1:1" ht="15" customHeight="1">
      <c r="A53" s="11"/>
    </row>
    <row r="54" spans="1:1" ht="15" customHeight="1">
      <c r="A54" s="11"/>
    </row>
    <row r="55" spans="1:1" ht="15" customHeight="1">
      <c r="A55" s="11"/>
    </row>
    <row r="56" spans="1:1" ht="15" customHeight="1">
      <c r="A56" s="11"/>
    </row>
    <row r="57" spans="1:1" ht="15" customHeight="1">
      <c r="A57" s="11"/>
    </row>
    <row r="58" spans="1:1" ht="15" customHeight="1">
      <c r="A58" s="11"/>
    </row>
    <row r="59" spans="1:1" ht="15" customHeight="1">
      <c r="A59" s="11"/>
    </row>
    <row r="60" spans="1:1" ht="15" customHeight="1">
      <c r="A60" s="11"/>
    </row>
    <row r="61" spans="1:1" ht="15" customHeight="1">
      <c r="A61" s="11"/>
    </row>
    <row r="62" spans="1:1" ht="15" customHeight="1">
      <c r="A62" s="11"/>
    </row>
    <row r="63" spans="1:1" ht="15" customHeight="1">
      <c r="A63" s="11"/>
    </row>
    <row r="64" spans="1:1" ht="15" customHeight="1">
      <c r="A64" s="11"/>
    </row>
    <row r="65" spans="1:1" ht="15" customHeight="1">
      <c r="A65" s="11"/>
    </row>
    <row r="66" spans="1:1" ht="15" customHeight="1">
      <c r="A66" s="11"/>
    </row>
    <row r="67" spans="1:1" ht="15" customHeight="1">
      <c r="A67" s="11"/>
    </row>
    <row r="68" spans="1:1" ht="15" customHeight="1">
      <c r="A68" s="11"/>
    </row>
    <row r="69" spans="1:1" ht="15" customHeight="1">
      <c r="A69" s="11"/>
    </row>
    <row r="70" spans="1:1" ht="15" customHeight="1">
      <c r="A70" s="11"/>
    </row>
    <row r="71" spans="1:1" ht="15" customHeight="1">
      <c r="A71" s="11"/>
    </row>
    <row r="72" spans="1:1" ht="15" customHeight="1">
      <c r="A72" s="11"/>
    </row>
    <row r="73" spans="1:1" ht="15" customHeight="1">
      <c r="A73" s="11"/>
    </row>
    <row r="74" spans="1:1" ht="15" customHeight="1">
      <c r="A74" s="11"/>
    </row>
    <row r="75" spans="1:1" ht="15" customHeight="1">
      <c r="A75" s="11"/>
    </row>
    <row r="76" spans="1:1" ht="15" customHeight="1">
      <c r="A76" s="11"/>
    </row>
    <row r="77" spans="1:1" ht="15" customHeight="1">
      <c r="A77" s="11"/>
    </row>
    <row r="78" spans="1:1" ht="15" customHeight="1">
      <c r="A78" s="11"/>
    </row>
    <row r="79" spans="1:1" ht="15" customHeight="1">
      <c r="A79" s="11"/>
    </row>
    <row r="80" spans="1:1" ht="15" customHeight="1">
      <c r="A80" s="11"/>
    </row>
    <row r="81" spans="1:1" ht="15" customHeight="1">
      <c r="A81" s="11"/>
    </row>
    <row r="82" spans="1:1" ht="15" customHeight="1">
      <c r="A82" s="11"/>
    </row>
    <row r="83" spans="1:1" ht="15" customHeight="1">
      <c r="A83" s="11"/>
    </row>
    <row r="84" spans="1:1" ht="15" customHeight="1">
      <c r="A84" s="11"/>
    </row>
    <row r="85" spans="1:1" ht="15" customHeight="1">
      <c r="A85" s="11"/>
    </row>
    <row r="86" spans="1:1" ht="15" customHeight="1">
      <c r="A86" s="11"/>
    </row>
    <row r="87" spans="1:1" ht="15" customHeight="1">
      <c r="A87" s="11"/>
    </row>
    <row r="88" spans="1:1" ht="15" customHeight="1">
      <c r="A88" s="11"/>
    </row>
    <row r="89" spans="1:1" ht="15" customHeight="1">
      <c r="A89" s="11"/>
    </row>
    <row r="90" spans="1:1" ht="15" customHeight="1">
      <c r="A90" s="11"/>
    </row>
    <row r="91" spans="1:1" ht="15" customHeight="1">
      <c r="A91" s="11"/>
    </row>
    <row r="92" spans="1:1" ht="15" customHeight="1">
      <c r="A92" s="11"/>
    </row>
    <row r="93" spans="1:1" ht="15" customHeight="1">
      <c r="A93" s="11"/>
    </row>
    <row r="94" spans="1:1" ht="15" customHeight="1">
      <c r="A94" s="11"/>
    </row>
    <row r="95" spans="1:1" ht="15" customHeight="1">
      <c r="A95" s="11"/>
    </row>
    <row r="96" spans="1:1" ht="15" customHeight="1">
      <c r="A96" s="11"/>
    </row>
    <row r="97" spans="1:1" ht="15" customHeight="1">
      <c r="A97" s="11"/>
    </row>
  </sheetData>
  <phoneticPr fontId="2" type="noConversion"/>
  <conditionalFormatting sqref="C4:H150">
    <cfRule type="expression" dxfId="18" priority="1">
      <formula>$H4="Concluída"</formula>
    </cfRule>
  </conditionalFormatting>
  <conditionalFormatting sqref="C4:H200">
    <cfRule type="expression" dxfId="17" priority="2">
      <formula>AND($D4&lt;TODAY(),$H4&lt;&gt;"Concluída",$C4&lt;&gt;"")</formula>
    </cfRule>
  </conditionalFormatting>
  <dataValidations count="3">
    <dataValidation type="list" allowBlank="1" showInputMessage="1" showErrorMessage="1" sqref="F4:F31" xr:uid="{74583570-1C79-41DF-8259-89BF438FE200}">
      <formula1>INDIRECT("Responsavel")</formula1>
    </dataValidation>
    <dataValidation type="list" allowBlank="1" showInputMessage="1" showErrorMessage="1" sqref="G4:G31" xr:uid="{77D4214D-297B-4552-B50A-27E04F37A55A}">
      <formula1>INDIRECT("Grupo")</formula1>
    </dataValidation>
    <dataValidation type="list" allowBlank="1" showInputMessage="1" showErrorMessage="1" sqref="H4:H31" xr:uid="{8D0DBE2D-F8B8-4771-9795-8C26C08A00DF}">
      <formula1>INDIRECT("Status")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A250-9E1C-4CFC-BBA5-94130EC490BB}">
  <sheetPr codeName="Planilha2"/>
  <dimension ref="A1:I97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30.7109375" customWidth="1"/>
    <col min="2" max="2" width="3.85546875" customWidth="1"/>
    <col min="3" max="3" width="15.85546875" customWidth="1"/>
    <col min="5" max="5" width="15.85546875" customWidth="1"/>
    <col min="7" max="7" width="15.85546875" customWidth="1"/>
  </cols>
  <sheetData>
    <row r="1" spans="1:9" ht="39.950000000000003" customHeight="1"/>
    <row r="2" spans="1:9">
      <c r="A2" s="4"/>
      <c r="C2" s="5"/>
      <c r="D2" s="5"/>
      <c r="E2" s="5"/>
      <c r="F2" s="5"/>
      <c r="G2" s="5"/>
      <c r="H2" s="5"/>
      <c r="I2" s="5"/>
    </row>
    <row r="3" spans="1:9">
      <c r="A3" s="4"/>
      <c r="C3" s="19" t="s">
        <v>0</v>
      </c>
      <c r="D3" s="5"/>
      <c r="E3" s="19" t="s">
        <v>1</v>
      </c>
      <c r="F3" s="5"/>
      <c r="G3" s="19" t="s">
        <v>2</v>
      </c>
      <c r="H3" s="5"/>
      <c r="I3" s="5"/>
    </row>
    <row r="4" spans="1:9">
      <c r="A4" s="4"/>
      <c r="C4" s="6" t="s">
        <v>3</v>
      </c>
      <c r="D4" s="5"/>
      <c r="E4" s="6" t="s">
        <v>4</v>
      </c>
      <c r="F4" s="5"/>
      <c r="G4" s="6" t="s">
        <v>7</v>
      </c>
      <c r="H4" s="12" t="s">
        <v>16</v>
      </c>
      <c r="I4" s="5"/>
    </row>
    <row r="5" spans="1:9">
      <c r="A5" s="4"/>
      <c r="C5" s="6"/>
      <c r="D5" s="5"/>
      <c r="E5" s="6" t="s">
        <v>5</v>
      </c>
      <c r="F5" s="5"/>
      <c r="G5" s="6" t="s">
        <v>14</v>
      </c>
      <c r="H5" s="5"/>
      <c r="I5" s="5"/>
    </row>
    <row r="6" spans="1:9">
      <c r="A6" s="4"/>
      <c r="C6" s="6"/>
      <c r="D6" s="5"/>
      <c r="E6" s="6" t="s">
        <v>6</v>
      </c>
      <c r="F6" s="5"/>
      <c r="G6" s="6" t="s">
        <v>9</v>
      </c>
      <c r="H6" s="5"/>
      <c r="I6" s="5"/>
    </row>
    <row r="7" spans="1:9">
      <c r="A7" s="4"/>
      <c r="C7" s="6"/>
      <c r="D7" s="5"/>
      <c r="E7" s="6"/>
      <c r="F7" s="5"/>
      <c r="G7" s="6"/>
      <c r="H7" s="5"/>
      <c r="I7" s="5"/>
    </row>
    <row r="8" spans="1:9">
      <c r="A8" s="4"/>
      <c r="C8" s="6"/>
      <c r="D8" s="5"/>
      <c r="E8" s="6"/>
      <c r="F8" s="5"/>
      <c r="G8" s="6"/>
      <c r="H8" s="5"/>
      <c r="I8" s="5"/>
    </row>
    <row r="9" spans="1:9">
      <c r="A9" s="4"/>
      <c r="C9" s="6"/>
      <c r="D9" s="5"/>
      <c r="E9" s="6"/>
      <c r="F9" s="5"/>
      <c r="G9" s="6"/>
      <c r="H9" s="5"/>
      <c r="I9" s="5"/>
    </row>
    <row r="10" spans="1:9">
      <c r="A10" s="4"/>
      <c r="C10" s="6"/>
      <c r="D10" s="5"/>
      <c r="E10" s="6"/>
      <c r="F10" s="5"/>
      <c r="G10" s="6"/>
      <c r="H10" s="5"/>
      <c r="I10" s="5"/>
    </row>
    <row r="11" spans="1:9">
      <c r="A11" s="4"/>
      <c r="C11" s="6"/>
      <c r="D11" s="5"/>
      <c r="E11" s="6"/>
      <c r="F11" s="5"/>
      <c r="G11" s="6"/>
      <c r="H11" s="5"/>
      <c r="I11" s="5"/>
    </row>
    <row r="12" spans="1:9">
      <c r="A12" s="4"/>
      <c r="C12" s="6"/>
      <c r="D12" s="5"/>
      <c r="E12" s="6"/>
      <c r="F12" s="5"/>
      <c r="G12" s="6"/>
      <c r="H12" s="5"/>
      <c r="I12" s="5"/>
    </row>
    <row r="13" spans="1:9">
      <c r="A13" s="4"/>
      <c r="C13" s="6"/>
      <c r="D13" s="5"/>
      <c r="E13" s="6"/>
      <c r="F13" s="5"/>
      <c r="G13" s="6"/>
      <c r="H13" s="5"/>
      <c r="I13" s="5"/>
    </row>
    <row r="14" spans="1:9">
      <c r="A14" s="4"/>
      <c r="C14" s="5"/>
      <c r="D14" s="5"/>
      <c r="E14" s="5"/>
      <c r="F14" s="5"/>
      <c r="G14" s="5"/>
      <c r="H14" s="5"/>
      <c r="I14" s="5"/>
    </row>
    <row r="15" spans="1:9">
      <c r="A15" s="4"/>
      <c r="C15" s="5"/>
      <c r="D15" s="5"/>
      <c r="E15" s="5"/>
      <c r="F15" s="5"/>
      <c r="G15" s="5"/>
      <c r="H15" s="5"/>
      <c r="I15" s="5"/>
    </row>
    <row r="16" spans="1:9">
      <c r="A16" s="4"/>
      <c r="C16" s="5"/>
      <c r="D16" s="5"/>
      <c r="E16" s="5"/>
      <c r="F16" s="5"/>
      <c r="G16" s="5"/>
      <c r="H16" s="5"/>
      <c r="I16" s="5"/>
    </row>
    <row r="17" spans="1:9">
      <c r="A17" s="4"/>
      <c r="C17" s="5"/>
      <c r="D17" s="5"/>
      <c r="E17" s="5"/>
      <c r="F17" s="5"/>
      <c r="G17" s="5"/>
      <c r="H17" s="5"/>
      <c r="I17" s="5"/>
    </row>
    <row r="18" spans="1:9">
      <c r="A18" s="4"/>
      <c r="C18" s="5"/>
      <c r="D18" s="5"/>
      <c r="E18" s="5"/>
      <c r="F18" s="5"/>
      <c r="G18" s="5"/>
      <c r="H18" s="5"/>
      <c r="I18" s="5"/>
    </row>
    <row r="19" spans="1:9">
      <c r="A19" s="4"/>
      <c r="C19" s="5"/>
      <c r="D19" s="5"/>
      <c r="E19" s="5"/>
      <c r="F19" s="5"/>
      <c r="G19" s="5"/>
      <c r="H19" s="5"/>
      <c r="I19" s="5"/>
    </row>
    <row r="20" spans="1:9">
      <c r="A20" s="4"/>
    </row>
    <row r="21" spans="1:9">
      <c r="A21" s="4"/>
    </row>
    <row r="22" spans="1:9">
      <c r="A22" s="4"/>
    </row>
    <row r="23" spans="1:9">
      <c r="A23" s="4"/>
    </row>
    <row r="24" spans="1:9">
      <c r="A24" s="4"/>
    </row>
    <row r="25" spans="1:9">
      <c r="A25" s="4"/>
    </row>
    <row r="26" spans="1:9">
      <c r="A26" s="4"/>
    </row>
    <row r="27" spans="1:9">
      <c r="A27" s="4"/>
    </row>
    <row r="28" spans="1:9">
      <c r="A28" s="4"/>
    </row>
    <row r="29" spans="1:9">
      <c r="A29" s="4"/>
    </row>
    <row r="30" spans="1:9">
      <c r="A30" s="4"/>
    </row>
    <row r="31" spans="1:9">
      <c r="A31" s="4"/>
    </row>
    <row r="32" spans="1:9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6ED5-2661-4BEE-A089-FB3FC6FEBB90}">
  <sheetPr codeName="Planilha3"/>
  <dimension ref="A1:S97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30.7109375" customWidth="1"/>
    <col min="2" max="2" width="3.85546875" customWidth="1"/>
    <col min="3" max="3" width="10.85546875" customWidth="1"/>
    <col min="4" max="4" width="15.85546875" style="1" customWidth="1"/>
    <col min="5" max="5" width="10.85546875" style="1" customWidth="1"/>
    <col min="6" max="6" width="9.140625" bestFit="1" customWidth="1"/>
    <col min="7" max="7" width="10.140625" bestFit="1" customWidth="1"/>
  </cols>
  <sheetData>
    <row r="1" spans="1:19" ht="39.950000000000003" customHeight="1"/>
    <row r="2" spans="1:19">
      <c r="A2" s="4"/>
      <c r="B2" s="5"/>
      <c r="C2" s="5"/>
      <c r="D2" s="6"/>
      <c r="E2" s="6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>
      <c r="A9" s="4"/>
      <c r="B9" s="5"/>
      <c r="C9" s="5"/>
      <c r="D9" s="6"/>
      <c r="E9" s="6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s="2" customFormat="1" ht="24.95" customHeight="1">
      <c r="A10" s="11"/>
      <c r="B10" s="7"/>
      <c r="C10" s="8" t="s">
        <v>17</v>
      </c>
      <c r="D10" s="9">
        <v>45082</v>
      </c>
      <c r="E10" s="10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>
      <c r="A11" s="4"/>
      <c r="B11" s="5"/>
      <c r="C11" s="5"/>
      <c r="D11" s="6"/>
      <c r="E11" s="6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>
      <c r="A12" s="4"/>
      <c r="B12" s="5"/>
      <c r="C12" s="5"/>
      <c r="D12" s="6"/>
      <c r="E12" s="6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>
      <c r="A13" s="4"/>
      <c r="B13" s="5"/>
      <c r="C13" s="5"/>
      <c r="D13" s="6"/>
      <c r="E13" s="6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>
      <c r="A14" s="4"/>
      <c r="B14" s="5"/>
      <c r="C14" s="5"/>
      <c r="D14" s="6"/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>
      <c r="A15" s="4"/>
      <c r="B15" s="5"/>
      <c r="C15" s="5"/>
      <c r="D15" s="6"/>
      <c r="E15" s="6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>
      <c r="A16" s="4"/>
      <c r="B16" s="5"/>
      <c r="C16" s="5"/>
      <c r="D16" s="6"/>
      <c r="E16" s="6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>
      <c r="A17" s="4"/>
      <c r="B17" s="5"/>
      <c r="C17" s="5"/>
      <c r="D17" s="6"/>
      <c r="E17" s="6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>
      <c r="A18" s="4"/>
      <c r="B18" s="5"/>
      <c r="C18" s="5"/>
      <c r="D18" s="6"/>
      <c r="E18" s="6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>
      <c r="A19" s="4"/>
      <c r="B19" s="5"/>
      <c r="C19" s="5"/>
      <c r="D19" s="6"/>
      <c r="E19" s="6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>
      <c r="A20" s="4"/>
      <c r="B20" s="5"/>
      <c r="C20" s="5"/>
      <c r="D20" s="6"/>
      <c r="E20" s="6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>
      <c r="A21" s="4"/>
      <c r="B21" s="5"/>
      <c r="C21" s="5"/>
      <c r="D21" s="6"/>
      <c r="E21" s="6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>
      <c r="A22" s="4"/>
      <c r="B22" s="5"/>
      <c r="C22" s="5"/>
      <c r="D22" s="6"/>
      <c r="E22" s="6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>
      <c r="A23" s="4"/>
      <c r="B23" s="5"/>
      <c r="C23" s="5"/>
      <c r="D23" s="6"/>
      <c r="E23" s="6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>
      <c r="A24" s="4"/>
      <c r="B24" s="5"/>
      <c r="C24" s="5"/>
      <c r="D24" s="6"/>
      <c r="E24" s="6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>
      <c r="A25" s="4"/>
      <c r="B25" s="5"/>
      <c r="C25" s="5"/>
      <c r="D25" s="6"/>
      <c r="E25" s="6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>
      <c r="A26" s="4"/>
      <c r="B26" s="5"/>
      <c r="C26" s="5"/>
      <c r="D26" s="6"/>
      <c r="E26" s="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>
      <c r="A27" s="4"/>
      <c r="B27" s="5"/>
      <c r="C27" s="5"/>
      <c r="D27" s="6"/>
      <c r="E27" s="6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>
      <c r="A28" s="4"/>
      <c r="B28" s="5"/>
      <c r="C28" s="5"/>
      <c r="D28" s="6"/>
      <c r="E28" s="6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</row>
    <row r="29" spans="1:19">
      <c r="A29" s="4"/>
      <c r="B29" s="5"/>
      <c r="C29" s="5"/>
      <c r="D29" s="6"/>
      <c r="E29" s="6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>
      <c r="A30" s="4"/>
      <c r="B30" s="5"/>
      <c r="C30" s="5"/>
      <c r="D30" s="6"/>
      <c r="E30" s="6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</row>
    <row r="31" spans="1:19" s="2" customFormat="1" ht="24.95" customHeight="1">
      <c r="A31" s="11"/>
      <c r="B31" s="7"/>
      <c r="C31" s="20" t="s">
        <v>19</v>
      </c>
      <c r="D31" s="21"/>
      <c r="E31" s="10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</row>
    <row r="32" spans="1:19">
      <c r="A32" s="4"/>
      <c r="B32" s="5"/>
      <c r="C32" s="5"/>
      <c r="D32" s="6"/>
      <c r="E32" s="6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>
      <c r="A33" s="4"/>
      <c r="B33" s="5"/>
      <c r="C33" s="5"/>
      <c r="D33" s="6"/>
      <c r="E33" s="6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</row>
    <row r="34" spans="1:19">
      <c r="A34" s="4"/>
      <c r="B34" s="5"/>
      <c r="C34" s="5"/>
      <c r="D34" s="6"/>
      <c r="E34" s="6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</row>
    <row r="35" spans="1:19">
      <c r="A35" s="4"/>
      <c r="B35" s="5"/>
      <c r="C35" s="5"/>
      <c r="D35" s="6"/>
      <c r="E35" s="6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1:19">
      <c r="A36" s="4"/>
      <c r="B36" s="5"/>
      <c r="C36" s="5"/>
      <c r="D36" s="6"/>
      <c r="E36" s="6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</row>
    <row r="37" spans="1:19">
      <c r="A37" s="4"/>
      <c r="B37" s="5"/>
      <c r="C37" s="5"/>
      <c r="D37" s="6"/>
      <c r="E37" s="6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</row>
    <row r="38" spans="1:19">
      <c r="A38" s="4"/>
      <c r="B38" s="5"/>
      <c r="C38" s="5"/>
      <c r="D38" s="6"/>
      <c r="E38" s="6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</row>
    <row r="39" spans="1:19">
      <c r="A39" s="4"/>
      <c r="B39" s="5"/>
      <c r="C39" s="5"/>
      <c r="D39" s="6"/>
      <c r="E39" s="6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1:19">
      <c r="A40" s="4"/>
      <c r="B40" s="5"/>
      <c r="C40" s="5"/>
      <c r="D40" s="6"/>
      <c r="E40" s="6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</row>
    <row r="41" spans="1:19">
      <c r="A41" s="4"/>
      <c r="B41" s="5"/>
      <c r="C41" s="5"/>
      <c r="D41" s="6"/>
      <c r="E41" s="6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</row>
    <row r="42" spans="1:19">
      <c r="A42" s="4"/>
      <c r="B42" s="5"/>
      <c r="C42" s="5"/>
      <c r="D42" s="6"/>
      <c r="E42" s="6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</row>
    <row r="43" spans="1:19">
      <c r="A43" s="4"/>
      <c r="B43" s="5"/>
      <c r="C43" s="5"/>
      <c r="D43" s="6"/>
      <c r="E43" s="6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1:19">
      <c r="A44" s="4"/>
      <c r="B44" s="5"/>
      <c r="C44" s="5"/>
      <c r="D44" s="6"/>
      <c r="E44" s="6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</row>
    <row r="45" spans="1:19">
      <c r="A45" s="4"/>
      <c r="B45" s="5"/>
      <c r="C45" s="5"/>
      <c r="D45" s="6"/>
      <c r="E45" s="6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</row>
    <row r="46" spans="1:19">
      <c r="A46" s="4"/>
      <c r="B46" s="5"/>
      <c r="C46" s="5"/>
      <c r="D46" s="6"/>
      <c r="E46" s="6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</row>
    <row r="47" spans="1:19">
      <c r="A47" s="4"/>
      <c r="B47" s="5"/>
      <c r="C47" s="5"/>
      <c r="D47" s="6"/>
      <c r="E47" s="6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</row>
    <row r="48" spans="1:19">
      <c r="A48" s="4"/>
      <c r="B48" s="5"/>
      <c r="C48" s="5"/>
      <c r="D48" s="6"/>
      <c r="E48" s="6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</row>
    <row r="49" spans="1:19">
      <c r="A49" s="4"/>
      <c r="B49" s="5"/>
      <c r="C49" s="5"/>
      <c r="D49" s="6"/>
      <c r="E49" s="6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</row>
    <row r="50" spans="1:19">
      <c r="A50" s="4"/>
      <c r="B50" s="5"/>
      <c r="C50" s="5"/>
      <c r="D50" s="6"/>
      <c r="E50" s="6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</row>
    <row r="51" spans="1:19">
      <c r="A51" s="4"/>
      <c r="B51" s="5"/>
      <c r="C51" s="5"/>
      <c r="D51" s="6"/>
      <c r="E51" s="6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</row>
    <row r="52" spans="1:19" s="2" customFormat="1" ht="24.95" customHeight="1">
      <c r="A52" s="11"/>
      <c r="B52" s="7"/>
      <c r="C52" s="20" t="s">
        <v>20</v>
      </c>
      <c r="D52" s="21"/>
      <c r="E52" s="10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</row>
    <row r="53" spans="1:19">
      <c r="A53" s="4"/>
      <c r="B53" s="5"/>
      <c r="C53" s="5"/>
      <c r="D53" s="6"/>
      <c r="E53" s="6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</row>
    <row r="54" spans="1:19">
      <c r="A54" s="4"/>
      <c r="B54" s="5"/>
      <c r="C54" s="5"/>
      <c r="D54" s="6"/>
      <c r="E54" s="6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</row>
    <row r="55" spans="1:19">
      <c r="A55" s="4"/>
      <c r="B55" s="5"/>
      <c r="C55" s="5"/>
      <c r="D55" s="6"/>
      <c r="E55" s="6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</row>
    <row r="56" spans="1:19">
      <c r="A56" s="4"/>
      <c r="B56" s="5"/>
      <c r="C56" s="5"/>
      <c r="D56" s="6"/>
      <c r="E56" s="6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</row>
    <row r="57" spans="1:19">
      <c r="A57" s="4"/>
      <c r="B57" s="5"/>
      <c r="C57" s="5"/>
      <c r="D57" s="6"/>
      <c r="E57" s="6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</row>
    <row r="58" spans="1:19">
      <c r="A58" s="4"/>
      <c r="B58" s="5"/>
      <c r="C58" s="5"/>
      <c r="D58" s="6"/>
      <c r="E58" s="6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</row>
    <row r="59" spans="1:19">
      <c r="A59" s="4"/>
      <c r="B59" s="5"/>
      <c r="C59" s="5"/>
      <c r="D59" s="6"/>
      <c r="E59" s="6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</row>
    <row r="60" spans="1:19">
      <c r="A60" s="4"/>
      <c r="B60" s="5"/>
      <c r="C60" s="5"/>
      <c r="D60" s="6"/>
      <c r="E60" s="6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</row>
    <row r="61" spans="1:19">
      <c r="A61" s="4"/>
      <c r="B61" s="5"/>
      <c r="C61" s="5"/>
      <c r="D61" s="6"/>
      <c r="E61" s="6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</row>
    <row r="62" spans="1:19">
      <c r="A62" s="4"/>
      <c r="B62" s="5"/>
      <c r="C62" s="5"/>
      <c r="D62" s="6"/>
      <c r="E62" s="6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</row>
    <row r="63" spans="1:19">
      <c r="A63" s="4"/>
      <c r="B63" s="5"/>
      <c r="C63" s="5"/>
      <c r="D63" s="6"/>
      <c r="E63" s="6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</row>
    <row r="64" spans="1:19">
      <c r="A64" s="4"/>
      <c r="B64" s="5"/>
      <c r="C64" s="5"/>
      <c r="D64" s="6"/>
      <c r="E64" s="6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</row>
    <row r="65" spans="1:19">
      <c r="A65" s="4"/>
      <c r="B65" s="5"/>
      <c r="C65" s="5"/>
      <c r="D65" s="6"/>
      <c r="E65" s="6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</row>
    <row r="66" spans="1:19">
      <c r="A66" s="4"/>
      <c r="B66" s="5"/>
      <c r="C66" s="5"/>
      <c r="D66" s="6"/>
      <c r="E66" s="6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</row>
    <row r="67" spans="1:19">
      <c r="A67" s="4"/>
      <c r="B67" s="5"/>
      <c r="C67" s="5"/>
      <c r="D67" s="6"/>
      <c r="E67" s="6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</row>
    <row r="68" spans="1:19">
      <c r="A68" s="4"/>
      <c r="B68" s="5"/>
      <c r="C68" s="5"/>
      <c r="D68" s="6"/>
      <c r="E68" s="6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</row>
    <row r="69" spans="1:19">
      <c r="A69" s="4"/>
      <c r="B69" s="5"/>
      <c r="C69" s="5"/>
      <c r="D69" s="6"/>
      <c r="E69" s="6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</row>
    <row r="70" spans="1:19">
      <c r="A70" s="4"/>
      <c r="B70" s="5"/>
      <c r="C70" s="5"/>
      <c r="D70" s="6"/>
      <c r="E70" s="6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</row>
    <row r="71" spans="1:19">
      <c r="A71" s="4"/>
      <c r="B71" s="5"/>
      <c r="C71" s="5"/>
      <c r="D71" s="6"/>
      <c r="E71" s="6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</row>
    <row r="72" spans="1:19">
      <c r="A72" s="4"/>
    </row>
    <row r="73" spans="1:19">
      <c r="A73" s="4"/>
    </row>
    <row r="74" spans="1:19">
      <c r="A74" s="4"/>
    </row>
    <row r="75" spans="1:19">
      <c r="A75" s="4"/>
    </row>
    <row r="76" spans="1:19">
      <c r="A76" s="4"/>
    </row>
    <row r="77" spans="1:19">
      <c r="A77" s="4"/>
    </row>
    <row r="78" spans="1:19">
      <c r="A78" s="4"/>
    </row>
    <row r="79" spans="1:19">
      <c r="A79" s="4"/>
    </row>
    <row r="80" spans="1:19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</sheetData>
  <mergeCells count="2">
    <mergeCell ref="C31:D31"/>
    <mergeCell ref="C52:D5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F7CC-5F16-468E-AABC-4EAA38B5697C}">
  <sheetPr codeName="Planilha5"/>
  <dimension ref="A1:H93"/>
  <sheetViews>
    <sheetView showGridLines="0" zoomScaleNormal="100" workbookViewId="0">
      <pane ySplit="1" topLeftCell="A2" activePane="bottomLeft" state="frozen"/>
      <selection pane="bottomLeft" activeCell="H14" sqref="H14"/>
    </sheetView>
  </sheetViews>
  <sheetFormatPr defaultColWidth="8.85546875" defaultRowHeight="15"/>
  <cols>
    <col min="1" max="1" width="30.7109375" customWidth="1"/>
    <col min="2" max="2" width="3.85546875" customWidth="1"/>
    <col min="3" max="5" width="15.85546875" style="1" customWidth="1"/>
    <col min="6" max="6" width="15.85546875" customWidth="1"/>
    <col min="7" max="8" width="15.85546875" style="1" customWidth="1"/>
  </cols>
  <sheetData>
    <row r="1" spans="1:7" ht="39.950000000000003" customHeight="1"/>
    <row r="2" spans="1:7">
      <c r="A2" s="4"/>
    </row>
    <row r="3" spans="1:7">
      <c r="A3" s="4"/>
      <c r="C3" s="6"/>
      <c r="D3" s="6"/>
      <c r="E3" s="6"/>
      <c r="F3" s="6"/>
      <c r="G3" s="6"/>
    </row>
    <row r="4" spans="1:7">
      <c r="A4" s="4"/>
      <c r="C4" s="6" t="str">
        <f>Status[[#This Row],[Status]]</f>
        <v>Concluída</v>
      </c>
      <c r="D4" s="6">
        <f>COUNTIF(TabTarefas[Status],Apoio!C4)</f>
        <v>2</v>
      </c>
      <c r="E4" s="15">
        <f>D4/$D$6</f>
        <v>0.5</v>
      </c>
      <c r="F4" s="6"/>
      <c r="G4" s="6"/>
    </row>
    <row r="5" spans="1:7">
      <c r="A5" s="4"/>
      <c r="C5" s="6" t="s">
        <v>15</v>
      </c>
      <c r="D5" s="6">
        <f>COUNTA(TabTarefas[Status])</f>
        <v>2</v>
      </c>
      <c r="E5" s="15">
        <f>D5/$D$6</f>
        <v>0.5</v>
      </c>
      <c r="F5" s="6"/>
      <c r="G5" s="6"/>
    </row>
    <row r="6" spans="1:7">
      <c r="A6" s="4"/>
      <c r="C6" s="6" t="s">
        <v>13</v>
      </c>
      <c r="D6" s="6">
        <f>SUM(D4:D5)</f>
        <v>4</v>
      </c>
      <c r="E6" s="16"/>
      <c r="F6" s="6"/>
      <c r="G6" s="6"/>
    </row>
    <row r="7" spans="1:7">
      <c r="A7" s="4"/>
      <c r="C7" s="6"/>
      <c r="D7" s="6"/>
      <c r="E7" s="16"/>
      <c r="F7" s="6"/>
      <c r="G7" s="6"/>
    </row>
    <row r="8" spans="1:7">
      <c r="A8" s="4"/>
      <c r="C8" s="6"/>
      <c r="D8" s="6"/>
      <c r="E8" s="16"/>
      <c r="F8" s="6"/>
      <c r="G8" s="6"/>
    </row>
    <row r="9" spans="1:7">
      <c r="A9" s="4"/>
      <c r="C9" s="6"/>
      <c r="D9" s="6"/>
      <c r="E9" s="16"/>
      <c r="F9" s="6"/>
      <c r="G9" s="6"/>
    </row>
    <row r="10" spans="1:7">
      <c r="A10" s="4"/>
      <c r="C10" s="6" t="s">
        <v>18</v>
      </c>
      <c r="D10" s="6" t="s">
        <v>7</v>
      </c>
      <c r="E10" s="6" t="s">
        <v>8</v>
      </c>
      <c r="F10" s="6"/>
      <c r="G10" s="6"/>
    </row>
    <row r="11" spans="1:7">
      <c r="A11" s="4"/>
      <c r="C11" s="17">
        <f>Dashboard!D10</f>
        <v>45082</v>
      </c>
      <c r="D11" s="18">
        <f>COUNTIFS(TabTarefas[Status],Apoio!$D$10,TabTarefas[Data Início],Apoio!C11)</f>
        <v>2</v>
      </c>
      <c r="E11" s="18">
        <f>COUNTIFS(TabTarefas[Data Início],Apoio!C11)-D11</f>
        <v>0</v>
      </c>
      <c r="F11" s="6"/>
      <c r="G11" s="6"/>
    </row>
    <row r="12" spans="1:7">
      <c r="A12" s="4"/>
      <c r="C12" s="17">
        <f>C11+1</f>
        <v>45083</v>
      </c>
      <c r="D12" s="18">
        <f>COUNTIFS(TabTarefas[Status],Apoio!$D$10,TabTarefas[Data Início],Apoio!C12)</f>
        <v>0</v>
      </c>
      <c r="E12" s="18">
        <f>COUNTIFS(TabTarefas[Data Início],Apoio!C12)-D12</f>
        <v>0</v>
      </c>
      <c r="F12" s="6"/>
      <c r="G12" s="6"/>
    </row>
    <row r="13" spans="1:7">
      <c r="A13" s="4"/>
      <c r="C13" s="17">
        <f t="shared" ref="C13:C17" si="0">C12+1</f>
        <v>45084</v>
      </c>
      <c r="D13" s="18">
        <f>COUNTIFS(TabTarefas[Status],Apoio!$D$10,TabTarefas[Data Início],Apoio!C13)</f>
        <v>0</v>
      </c>
      <c r="E13" s="18">
        <f>COUNTIFS(TabTarefas[Data Início],Apoio!C13)-D13</f>
        <v>0</v>
      </c>
      <c r="F13" s="6"/>
      <c r="G13" s="6"/>
    </row>
    <row r="14" spans="1:7">
      <c r="A14" s="4"/>
      <c r="C14" s="17">
        <f t="shared" si="0"/>
        <v>45085</v>
      </c>
      <c r="D14" s="18">
        <f>COUNTIFS(TabTarefas[Status],Apoio!$D$10,TabTarefas[Data Início],Apoio!C14)</f>
        <v>0</v>
      </c>
      <c r="E14" s="18">
        <f>COUNTIFS(TabTarefas[Data Início],Apoio!C14)-D14</f>
        <v>0</v>
      </c>
      <c r="F14" s="6"/>
      <c r="G14" s="6"/>
    </row>
    <row r="15" spans="1:7">
      <c r="A15" s="4"/>
      <c r="C15" s="17">
        <f t="shared" si="0"/>
        <v>45086</v>
      </c>
      <c r="D15" s="18">
        <f>COUNTIFS(TabTarefas[Status],Apoio!$D$10,TabTarefas[Data Início],Apoio!C15)</f>
        <v>0</v>
      </c>
      <c r="E15" s="18">
        <f>COUNTIFS(TabTarefas[Data Início],Apoio!C15)-D15</f>
        <v>0</v>
      </c>
      <c r="F15" s="6"/>
      <c r="G15" s="6"/>
    </row>
    <row r="16" spans="1:7">
      <c r="A16" s="4"/>
      <c r="C16" s="17">
        <f t="shared" si="0"/>
        <v>45087</v>
      </c>
      <c r="D16" s="18">
        <f>COUNTIFS(TabTarefas[Status],Apoio!$D$10,TabTarefas[Data Início],Apoio!C16)</f>
        <v>0</v>
      </c>
      <c r="E16" s="18">
        <f>COUNTIFS(TabTarefas[Data Início],Apoio!C16)-D16</f>
        <v>0</v>
      </c>
      <c r="F16" s="6"/>
      <c r="G16" s="6"/>
    </row>
    <row r="17" spans="1:7" s="1" customFormat="1">
      <c r="A17" s="4"/>
      <c r="B17"/>
      <c r="C17" s="17">
        <f t="shared" si="0"/>
        <v>45088</v>
      </c>
      <c r="D17" s="18">
        <f>COUNTIFS(TabTarefas[Status],Apoio!$D$10,TabTarefas[Data Início],Apoio!C17)</f>
        <v>0</v>
      </c>
      <c r="E17" s="18">
        <f>COUNTIFS(TabTarefas[Data Início],Apoio!C17)-D17</f>
        <v>0</v>
      </c>
      <c r="F17" s="6"/>
      <c r="G17" s="6"/>
    </row>
    <row r="18" spans="1:7" s="1" customFormat="1">
      <c r="A18" s="4"/>
      <c r="B18"/>
      <c r="C18" s="6"/>
      <c r="D18" s="6"/>
      <c r="E18" s="16"/>
      <c r="F18" s="6"/>
      <c r="G18" s="6"/>
    </row>
    <row r="19" spans="1:7" s="1" customFormat="1">
      <c r="A19" s="4"/>
      <c r="B19"/>
      <c r="C19" s="6"/>
      <c r="D19" s="6"/>
      <c r="E19" s="16"/>
      <c r="F19" s="6"/>
      <c r="G19" s="6"/>
    </row>
    <row r="20" spans="1:7" s="1" customFormat="1">
      <c r="A20" s="4"/>
      <c r="B20"/>
      <c r="C20" s="6"/>
      <c r="D20" s="6"/>
      <c r="E20" s="16"/>
      <c r="F20" s="6"/>
      <c r="G20" s="6"/>
    </row>
    <row r="21" spans="1:7" s="1" customFormat="1">
      <c r="A21" s="4"/>
      <c r="B21"/>
      <c r="C21" s="6" t="s">
        <v>1</v>
      </c>
      <c r="D21" s="6" t="s">
        <v>7</v>
      </c>
      <c r="E21" s="6" t="s">
        <v>8</v>
      </c>
      <c r="F21" s="6" t="s">
        <v>21</v>
      </c>
      <c r="G21" s="6"/>
    </row>
    <row r="22" spans="1:7" s="1" customFormat="1">
      <c r="A22" s="4"/>
      <c r="B22"/>
      <c r="C22" s="6" t="str">
        <f>Cadastro!E4</f>
        <v>Trabalho</v>
      </c>
      <c r="D22" s="6">
        <f>COUNTIFS(TabTarefas[Status],Apoio!$D$21,TabTarefas[Grupo],Apoio!$C22)</f>
        <v>2</v>
      </c>
      <c r="E22" s="6">
        <f>COUNTIFS(TabTarefas[Grupo],Apoio!$C22)-D22</f>
        <v>0</v>
      </c>
      <c r="F22" s="15">
        <f>IFERROR(D22/(D22+E22),NA())</f>
        <v>1</v>
      </c>
      <c r="G22" s="6"/>
    </row>
    <row r="23" spans="1:7" s="1" customFormat="1">
      <c r="A23" s="4"/>
      <c r="B23"/>
      <c r="C23" s="6" t="str">
        <f>Cadastro!E5</f>
        <v>Pessoal</v>
      </c>
      <c r="D23" s="6">
        <f>COUNTIFS(TabTarefas[Status],Apoio!$D$21,TabTarefas[Grupo],Apoio!$C23)</f>
        <v>0</v>
      </c>
      <c r="E23" s="6">
        <f>COUNTIFS(TabTarefas[Grupo],Apoio!$C23)-D23</f>
        <v>0</v>
      </c>
      <c r="F23" s="15" t="e">
        <f t="shared" ref="F23:F31" si="1">IFERROR(D23/(D23+E23),NA())</f>
        <v>#N/A</v>
      </c>
      <c r="G23" s="6"/>
    </row>
    <row r="24" spans="1:7" s="1" customFormat="1">
      <c r="A24" s="4"/>
      <c r="B24"/>
      <c r="C24" s="6" t="str">
        <f>Cadastro!E6</f>
        <v>Faculdade</v>
      </c>
      <c r="D24" s="6">
        <f>COUNTIFS(TabTarefas[Status],Apoio!$D$21,TabTarefas[Grupo],Apoio!$C24)</f>
        <v>0</v>
      </c>
      <c r="E24" s="6">
        <f>COUNTIFS(TabTarefas[Grupo],Apoio!$C24)-D24</f>
        <v>0</v>
      </c>
      <c r="F24" s="15" t="e">
        <f t="shared" si="1"/>
        <v>#N/A</v>
      </c>
      <c r="G24" s="6"/>
    </row>
    <row r="25" spans="1:7" s="1" customFormat="1">
      <c r="A25" s="4"/>
      <c r="B25"/>
      <c r="C25" s="6">
        <f>Cadastro!E7</f>
        <v>0</v>
      </c>
      <c r="D25" s="6">
        <f>COUNTIFS(TabTarefas[Status],Apoio!$D$21,TabTarefas[Grupo],Apoio!$C25)</f>
        <v>0</v>
      </c>
      <c r="E25" s="6">
        <f>COUNTIFS(TabTarefas[Grupo],Apoio!$C25)-D25</f>
        <v>0</v>
      </c>
      <c r="F25" s="15" t="e">
        <f t="shared" si="1"/>
        <v>#N/A</v>
      </c>
      <c r="G25" s="6"/>
    </row>
    <row r="26" spans="1:7" s="1" customFormat="1">
      <c r="A26" s="4"/>
      <c r="B26"/>
      <c r="C26" s="6">
        <f>Cadastro!E8</f>
        <v>0</v>
      </c>
      <c r="D26" s="6">
        <f>COUNTIFS(TabTarefas[Status],Apoio!$D$21,TabTarefas[Grupo],Apoio!$C26)</f>
        <v>0</v>
      </c>
      <c r="E26" s="6">
        <f>COUNTIFS(TabTarefas[Grupo],Apoio!$C26)-D26</f>
        <v>0</v>
      </c>
      <c r="F26" s="15" t="e">
        <f t="shared" si="1"/>
        <v>#N/A</v>
      </c>
      <c r="G26" s="6"/>
    </row>
    <row r="27" spans="1:7" s="1" customFormat="1">
      <c r="A27" s="4"/>
      <c r="B27"/>
      <c r="C27" s="6">
        <f>Cadastro!E9</f>
        <v>0</v>
      </c>
      <c r="D27" s="6">
        <f>COUNTIFS(TabTarefas[Status],Apoio!$D$21,TabTarefas[Grupo],Apoio!$C27)</f>
        <v>0</v>
      </c>
      <c r="E27" s="6">
        <f>COUNTIFS(TabTarefas[Grupo],Apoio!$C27)-D27</f>
        <v>0</v>
      </c>
      <c r="F27" s="15" t="e">
        <f t="shared" si="1"/>
        <v>#N/A</v>
      </c>
      <c r="G27" s="6"/>
    </row>
    <row r="28" spans="1:7" s="1" customFormat="1">
      <c r="A28" s="4"/>
      <c r="B28"/>
      <c r="C28" s="6">
        <f>Cadastro!E10</f>
        <v>0</v>
      </c>
      <c r="D28" s="6">
        <f>COUNTIFS(TabTarefas[Status],Apoio!$D$21,TabTarefas[Grupo],Apoio!$C28)</f>
        <v>0</v>
      </c>
      <c r="E28" s="6">
        <f>COUNTIFS(TabTarefas[Grupo],Apoio!$C28)-D28</f>
        <v>0</v>
      </c>
      <c r="F28" s="15" t="e">
        <f t="shared" si="1"/>
        <v>#N/A</v>
      </c>
      <c r="G28" s="6"/>
    </row>
    <row r="29" spans="1:7" s="1" customFormat="1">
      <c r="A29" s="4"/>
      <c r="B29"/>
      <c r="C29" s="6">
        <f>Cadastro!E11</f>
        <v>0</v>
      </c>
      <c r="D29" s="6">
        <f>COUNTIFS(TabTarefas[Status],Apoio!$D$21,TabTarefas[Grupo],Apoio!$C29)</f>
        <v>0</v>
      </c>
      <c r="E29" s="6">
        <f>COUNTIFS(TabTarefas[Grupo],Apoio!$C29)-D29</f>
        <v>0</v>
      </c>
      <c r="F29" s="15" t="e">
        <f t="shared" si="1"/>
        <v>#N/A</v>
      </c>
      <c r="G29" s="6"/>
    </row>
    <row r="30" spans="1:7" s="1" customFormat="1">
      <c r="A30" s="4"/>
      <c r="B30"/>
      <c r="C30" s="6">
        <f>Cadastro!E12</f>
        <v>0</v>
      </c>
      <c r="D30" s="6">
        <f>COUNTIFS(TabTarefas[Status],Apoio!$D$21,TabTarefas[Grupo],Apoio!$C30)</f>
        <v>0</v>
      </c>
      <c r="E30" s="6">
        <f>COUNTIFS(TabTarefas[Grupo],Apoio!$C30)-D30</f>
        <v>0</v>
      </c>
      <c r="F30" s="15" t="e">
        <f t="shared" si="1"/>
        <v>#N/A</v>
      </c>
      <c r="G30" s="6"/>
    </row>
    <row r="31" spans="1:7" s="1" customFormat="1">
      <c r="A31" s="4"/>
      <c r="B31"/>
      <c r="C31" s="6">
        <f>Cadastro!E13</f>
        <v>0</v>
      </c>
      <c r="D31" s="6">
        <f>COUNTIFS(TabTarefas[Status],Apoio!$D$21,TabTarefas[Grupo],Apoio!$C31)</f>
        <v>0</v>
      </c>
      <c r="E31" s="6">
        <f>COUNTIFS(TabTarefas[Grupo],Apoio!$C31)-D31</f>
        <v>0</v>
      </c>
      <c r="F31" s="15" t="e">
        <f t="shared" si="1"/>
        <v>#N/A</v>
      </c>
      <c r="G31" s="6"/>
    </row>
    <row r="32" spans="1:7">
      <c r="A32" s="4"/>
      <c r="C32" s="6"/>
      <c r="D32" s="6"/>
      <c r="E32" s="6"/>
      <c r="F32" s="5"/>
      <c r="G32" s="6"/>
    </row>
    <row r="33" spans="1:7">
      <c r="A33" s="4"/>
      <c r="C33" s="6"/>
      <c r="D33" s="6"/>
      <c r="E33" s="6"/>
      <c r="F33" s="5"/>
      <c r="G33" s="6"/>
    </row>
    <row r="34" spans="1:7">
      <c r="A34" s="4"/>
      <c r="C34" s="6"/>
      <c r="D34" s="6"/>
      <c r="E34" s="6"/>
      <c r="F34" s="5"/>
      <c r="G34" s="6"/>
    </row>
    <row r="35" spans="1:7">
      <c r="A35" s="4"/>
      <c r="C35" s="6" t="s">
        <v>0</v>
      </c>
      <c r="D35" s="6" t="s">
        <v>7</v>
      </c>
      <c r="E35" s="6" t="s">
        <v>8</v>
      </c>
      <c r="F35" s="6" t="s">
        <v>21</v>
      </c>
      <c r="G35" s="6"/>
    </row>
    <row r="36" spans="1:7">
      <c r="A36" s="4"/>
      <c r="C36" s="6" t="str">
        <f>Cadastro!C4</f>
        <v>Thiago</v>
      </c>
      <c r="D36" s="6">
        <f>COUNTIFS(TabTarefas[Status],Apoio!$D$35,TabTarefas[Responsável],Apoio!$C36)</f>
        <v>2</v>
      </c>
      <c r="E36" s="6">
        <f>COUNTIFS(TabTarefas[Responsável],Apoio!$C36)-D36</f>
        <v>0</v>
      </c>
      <c r="F36" s="15">
        <f>IFERROR(D36/(D36+E36),NA())</f>
        <v>1</v>
      </c>
      <c r="G36" s="6"/>
    </row>
    <row r="37" spans="1:7">
      <c r="A37" s="4"/>
      <c r="C37" s="6">
        <f>Cadastro!C5</f>
        <v>0</v>
      </c>
      <c r="D37" s="6">
        <f>COUNTIFS(TabTarefas[Status],Apoio!$D$35,TabTarefas[Responsável],Apoio!$C37)</f>
        <v>0</v>
      </c>
      <c r="E37" s="6">
        <f>COUNTIFS(TabTarefas[Responsável],Apoio!$C37)-D37</f>
        <v>0</v>
      </c>
      <c r="F37" s="15" t="e">
        <f t="shared" ref="F37:F45" si="2">IFERROR(D37/(D37+E37),NA())</f>
        <v>#N/A</v>
      </c>
      <c r="G37" s="6"/>
    </row>
    <row r="38" spans="1:7">
      <c r="A38" s="4"/>
      <c r="C38" s="6">
        <f>Cadastro!C6</f>
        <v>0</v>
      </c>
      <c r="D38" s="6">
        <f>COUNTIFS(TabTarefas[Status],Apoio!$D$35,TabTarefas[Responsável],Apoio!$C38)</f>
        <v>0</v>
      </c>
      <c r="E38" s="6">
        <f>COUNTIFS(TabTarefas[Responsável],Apoio!$C38)-D38</f>
        <v>0</v>
      </c>
      <c r="F38" s="15" t="e">
        <f t="shared" si="2"/>
        <v>#N/A</v>
      </c>
      <c r="G38" s="6"/>
    </row>
    <row r="39" spans="1:7">
      <c r="A39" s="4"/>
      <c r="C39" s="6">
        <f>Cadastro!C7</f>
        <v>0</v>
      </c>
      <c r="D39" s="6">
        <f>COUNTIFS(TabTarefas[Status],Apoio!$D$35,TabTarefas[Responsável],Apoio!$C39)</f>
        <v>0</v>
      </c>
      <c r="E39" s="6">
        <f>COUNTIFS(TabTarefas[Responsável],Apoio!$C39)-D39</f>
        <v>0</v>
      </c>
      <c r="F39" s="15" t="e">
        <f t="shared" si="2"/>
        <v>#N/A</v>
      </c>
      <c r="G39" s="6"/>
    </row>
    <row r="40" spans="1:7">
      <c r="A40" s="4"/>
      <c r="C40" s="6">
        <f>Cadastro!C8</f>
        <v>0</v>
      </c>
      <c r="D40" s="6">
        <f>COUNTIFS(TabTarefas[Status],Apoio!$D$35,TabTarefas[Responsável],Apoio!$C40)</f>
        <v>0</v>
      </c>
      <c r="E40" s="6">
        <f>COUNTIFS(TabTarefas[Responsável],Apoio!$C40)-D40</f>
        <v>0</v>
      </c>
      <c r="F40" s="15" t="e">
        <f t="shared" si="2"/>
        <v>#N/A</v>
      </c>
      <c r="G40" s="6"/>
    </row>
    <row r="41" spans="1:7">
      <c r="A41" s="4"/>
      <c r="C41" s="6">
        <f>Cadastro!C9</f>
        <v>0</v>
      </c>
      <c r="D41" s="6">
        <f>COUNTIFS(TabTarefas[Status],Apoio!$D$35,TabTarefas[Responsável],Apoio!$C41)</f>
        <v>0</v>
      </c>
      <c r="E41" s="6">
        <f>COUNTIFS(TabTarefas[Responsável],Apoio!$C41)-D41</f>
        <v>0</v>
      </c>
      <c r="F41" s="15" t="e">
        <f t="shared" si="2"/>
        <v>#N/A</v>
      </c>
      <c r="G41" s="6"/>
    </row>
    <row r="42" spans="1:7">
      <c r="A42" s="4"/>
      <c r="C42" s="6">
        <f>Cadastro!C10</f>
        <v>0</v>
      </c>
      <c r="D42" s="6">
        <f>COUNTIFS(TabTarefas[Status],Apoio!$D$35,TabTarefas[Responsável],Apoio!$C42)</f>
        <v>0</v>
      </c>
      <c r="E42" s="6">
        <f>COUNTIFS(TabTarefas[Responsável],Apoio!$C42)-D42</f>
        <v>0</v>
      </c>
      <c r="F42" s="15" t="e">
        <f t="shared" si="2"/>
        <v>#N/A</v>
      </c>
      <c r="G42" s="6"/>
    </row>
    <row r="43" spans="1:7">
      <c r="A43" s="4"/>
      <c r="C43" s="6">
        <f>Cadastro!C11</f>
        <v>0</v>
      </c>
      <c r="D43" s="6">
        <f>COUNTIFS(TabTarefas[Status],Apoio!$D$35,TabTarefas[Responsável],Apoio!$C43)</f>
        <v>0</v>
      </c>
      <c r="E43" s="6">
        <f>COUNTIFS(TabTarefas[Responsável],Apoio!$C43)-D43</f>
        <v>0</v>
      </c>
      <c r="F43" s="15" t="e">
        <f t="shared" si="2"/>
        <v>#N/A</v>
      </c>
      <c r="G43" s="6"/>
    </row>
    <row r="44" spans="1:7">
      <c r="A44" s="4"/>
      <c r="C44" s="6">
        <f>Cadastro!C12</f>
        <v>0</v>
      </c>
      <c r="D44" s="6">
        <f>COUNTIFS(TabTarefas[Status],Apoio!$D$35,TabTarefas[Responsável],Apoio!$C44)</f>
        <v>0</v>
      </c>
      <c r="E44" s="6">
        <f>COUNTIFS(TabTarefas[Responsável],Apoio!$C44)-D44</f>
        <v>0</v>
      </c>
      <c r="F44" s="15" t="e">
        <f t="shared" si="2"/>
        <v>#N/A</v>
      </c>
      <c r="G44" s="6"/>
    </row>
    <row r="45" spans="1:7">
      <c r="A45" s="4"/>
      <c r="C45" s="6">
        <f>Cadastro!C13</f>
        <v>0</v>
      </c>
      <c r="D45" s="6">
        <f>COUNTIFS(TabTarefas[Status],Apoio!$D$35,TabTarefas[Responsável],Apoio!$C45)</f>
        <v>0</v>
      </c>
      <c r="E45" s="6">
        <f>COUNTIFS(TabTarefas[Responsável],Apoio!$C45)-D45</f>
        <v>0</v>
      </c>
      <c r="F45" s="15" t="e">
        <f t="shared" si="2"/>
        <v>#N/A</v>
      </c>
      <c r="G45" s="6"/>
    </row>
    <row r="46" spans="1:7">
      <c r="A46" s="4"/>
      <c r="C46" s="6"/>
      <c r="D46" s="6"/>
      <c r="E46" s="6"/>
      <c r="F46" s="5"/>
      <c r="G46" s="6"/>
    </row>
    <row r="47" spans="1:7">
      <c r="A47" s="4"/>
    </row>
    <row r="48" spans="1:7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</sheetData>
  <dataValidations count="3">
    <dataValidation type="list" allowBlank="1" showInputMessage="1" showErrorMessage="1" sqref="H4:H7" xr:uid="{3170B5D9-9875-4153-B9F5-EA2222427F36}">
      <formula1>INDIRECT("Status")</formula1>
    </dataValidation>
    <dataValidation type="list" allowBlank="1" showInputMessage="1" showErrorMessage="1" sqref="G4:G7" xr:uid="{A5731535-8112-4794-848F-1970E90EE45E}">
      <formula1>INDIRECT("Grupo")</formula1>
    </dataValidation>
    <dataValidation type="list" allowBlank="1" showInputMessage="1" showErrorMessage="1" sqref="F4:F7" xr:uid="{8F5509CF-0494-41A9-92C7-2DF1F04DCABF}">
      <formula1>INDIRECT("Responsavel")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Tarefas</vt:lpstr>
      <vt:lpstr>Cadastro</vt:lpstr>
      <vt:lpstr>Dashboard</vt:lpstr>
      <vt:lpstr>Apoio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Terra</dc:creator>
  <cp:lastModifiedBy>Paulo Henrique Ribeiro dos Reis</cp:lastModifiedBy>
  <dcterms:created xsi:type="dcterms:W3CDTF">2022-06-05T14:29:40Z</dcterms:created>
  <dcterms:modified xsi:type="dcterms:W3CDTF">2025-01-16T00:37:28Z</dcterms:modified>
</cp:coreProperties>
</file>